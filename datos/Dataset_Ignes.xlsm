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admig\Desktop\"/>
    </mc:Choice>
  </mc:AlternateContent>
  <xr:revisionPtr revIDLastSave="0" documentId="8_{92ECBBD3-D9EB-45D7-B28D-8BD151AC05B4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Hoja Brief" sheetId="4" r:id="rId1"/>
    <sheet name="Base CSV" sheetId="2" r:id="rId2"/>
    <sheet name="Base Normalizada" sheetId="1" r:id="rId3"/>
    <sheet name="Preguntas y Respuestas" sheetId="12" r:id="rId4"/>
    <sheet name="Tabla Dinamica" sheetId="11" r:id="rId5"/>
    <sheet name="Validacion de Datos" sheetId="13" r:id="rId6"/>
    <sheet name="Dashboard Final" sheetId="17" r:id="rId7"/>
  </sheets>
  <definedNames>
    <definedName name="_xlnm._FilterDatabase" localSheetId="2" hidden="1">'Base Normalizada'!$A$1:$I$472</definedName>
    <definedName name="_xleta.PHI" hidden="1" xlm="1">#NAME?</definedName>
    <definedName name="_xlnm.Criteria" localSheetId="2">'Base Normalizada'!$L$1:$P$2</definedName>
    <definedName name="SegmentaciónDeDatos_Año">#N/A</definedName>
    <definedName name="SegmentaciónDeDatos_Motor">#N/A</definedName>
    <definedName name="SegmentaciónDeDatos_Vendedor">#N/A</definedName>
  </definedNames>
  <calcPr calcId="191029"/>
  <pivotCaches>
    <pivotCache cacheId="7" r:id="rId8"/>
    <pivotCache cacheId="6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2" l="1"/>
  <c r="C23" i="12"/>
  <c r="C22" i="12"/>
  <c r="C21" i="12"/>
  <c r="C20" i="12"/>
  <c r="C19" i="12"/>
  <c r="C18" i="12"/>
  <c r="C17" i="12"/>
  <c r="C16" i="12"/>
  <c r="C15" i="12"/>
  <c r="C11" i="12" l="1"/>
  <c r="C10" i="12"/>
  <c r="C9" i="12"/>
  <c r="C8" i="12"/>
  <c r="C7" i="12"/>
  <c r="C6" i="12"/>
  <c r="C5" i="12"/>
  <c r="C4" i="12"/>
  <c r="C3" i="12"/>
  <c r="C2" i="12"/>
</calcChain>
</file>

<file path=xl/sharedStrings.xml><?xml version="1.0" encoding="utf-8"?>
<sst xmlns="http://schemas.openxmlformats.org/spreadsheetml/2006/main" count="5811" uniqueCount="861">
  <si>
    <t>Año</t>
  </si>
  <si>
    <t>Tipo</t>
  </si>
  <si>
    <t>Kilometraje</t>
  </si>
  <si>
    <t>Motor</t>
  </si>
  <si>
    <t>Transmision</t>
  </si>
  <si>
    <t>Combustible</t>
  </si>
  <si>
    <t>Propietarios</t>
  </si>
  <si>
    <t>Precio (Moneda)</t>
  </si>
  <si>
    <t>Hatchback</t>
  </si>
  <si>
    <t>1.6L</t>
  </si>
  <si>
    <t>Manual</t>
  </si>
  <si>
    <t>Diesel</t>
  </si>
  <si>
    <t>1.0L</t>
  </si>
  <si>
    <t>Petrol</t>
  </si>
  <si>
    <t>1.4L</t>
  </si>
  <si>
    <t>Automatic</t>
  </si>
  <si>
    <t>1.2L</t>
  </si>
  <si>
    <t>1.5L</t>
  </si>
  <si>
    <t>2.0L</t>
  </si>
  <si>
    <t>Year</t>
  </si>
  <si>
    <t>Type</t>
  </si>
  <si>
    <t>Mileage(miles)</t>
  </si>
  <si>
    <t>Engine</t>
  </si>
  <si>
    <t>Transmission</t>
  </si>
  <si>
    <t>Fuel</t>
  </si>
  <si>
    <t>Number_of_Owners</t>
  </si>
  <si>
    <t>Price(Â£)</t>
  </si>
  <si>
    <t>2018.0</t>
  </si>
  <si>
    <t>44000.0</t>
  </si>
  <si>
    <t>14995.0</t>
  </si>
  <si>
    <t>2016.0</t>
  </si>
  <si>
    <t>42596.0</t>
  </si>
  <si>
    <t>10755.0</t>
  </si>
  <si>
    <t>2015.0</t>
  </si>
  <si>
    <t>42700.0</t>
  </si>
  <si>
    <t>10799.0</t>
  </si>
  <si>
    <t>2014.0</t>
  </si>
  <si>
    <t>86000.0</t>
  </si>
  <si>
    <t>7490.0</t>
  </si>
  <si>
    <t>104310.0</t>
  </si>
  <si>
    <t>7400.0</t>
  </si>
  <si>
    <t>55191.0</t>
  </si>
  <si>
    <t>9991.0</t>
  </si>
  <si>
    <t>93432.0</t>
  </si>
  <si>
    <t>6490.0</t>
  </si>
  <si>
    <t>49000.0</t>
  </si>
  <si>
    <t>11795.0</t>
  </si>
  <si>
    <t>68582.0</t>
  </si>
  <si>
    <t>12300.0</t>
  </si>
  <si>
    <t>72900.0</t>
  </si>
  <si>
    <t>8980.0</t>
  </si>
  <si>
    <t>68700.0</t>
  </si>
  <si>
    <t>11183.0</t>
  </si>
  <si>
    <t>2017.0</t>
  </si>
  <si>
    <t>33000.0</t>
  </si>
  <si>
    <t>11840.0</t>
  </si>
  <si>
    <t>70000.0</t>
  </si>
  <si>
    <t>9990.0</t>
  </si>
  <si>
    <t>2019.0</t>
  </si>
  <si>
    <t>54595.0</t>
  </si>
  <si>
    <t>14837.0</t>
  </si>
  <si>
    <t>37000.0</t>
  </si>
  <si>
    <t>12650.0</t>
  </si>
  <si>
    <t>65000.0</t>
  </si>
  <si>
    <t>8990.0</t>
  </si>
  <si>
    <t>96500.0</t>
  </si>
  <si>
    <t>6550.0</t>
  </si>
  <si>
    <t>38030.0</t>
  </si>
  <si>
    <t>12500.0</t>
  </si>
  <si>
    <t>54000.0</t>
  </si>
  <si>
    <t>9499.0</t>
  </si>
  <si>
    <t>71845.0</t>
  </si>
  <si>
    <t>8695.0</t>
  </si>
  <si>
    <t>61161.0</t>
  </si>
  <si>
    <t>9595.0</t>
  </si>
  <si>
    <t>22000.0</t>
  </si>
  <si>
    <t>12995.0</t>
  </si>
  <si>
    <t>44652.0</t>
  </si>
  <si>
    <t>7750.0</t>
  </si>
  <si>
    <t>61550.0</t>
  </si>
  <si>
    <t>11000.0</t>
  </si>
  <si>
    <t>45121.0</t>
  </si>
  <si>
    <t>10575.0</t>
  </si>
  <si>
    <t>18487.0</t>
  </si>
  <si>
    <t>19399.0</t>
  </si>
  <si>
    <t>80137.0</t>
  </si>
  <si>
    <t>6995.0</t>
  </si>
  <si>
    <t>28350.0</t>
  </si>
  <si>
    <t>10890.0</t>
  </si>
  <si>
    <t>81094.0</t>
  </si>
  <si>
    <t>10950.0</t>
  </si>
  <si>
    <t>102525.0</t>
  </si>
  <si>
    <t>7345.0</t>
  </si>
  <si>
    <t>37392.0</t>
  </si>
  <si>
    <t>107000.0</t>
  </si>
  <si>
    <t>7800.0</t>
  </si>
  <si>
    <t>45027.0</t>
  </si>
  <si>
    <t>47700.0</t>
  </si>
  <si>
    <t>15495.0</t>
  </si>
  <si>
    <t>40266.0</t>
  </si>
  <si>
    <t>14990.0</t>
  </si>
  <si>
    <t>45203.0</t>
  </si>
  <si>
    <t>10403.0</t>
  </si>
  <si>
    <t>40000.0</t>
  </si>
  <si>
    <t>12138.0</t>
  </si>
  <si>
    <t>59000.0</t>
  </si>
  <si>
    <t>42327.0</t>
  </si>
  <si>
    <t>15300.0</t>
  </si>
  <si>
    <t>62000.0</t>
  </si>
  <si>
    <t>7990.0</t>
  </si>
  <si>
    <t>20141.0</t>
  </si>
  <si>
    <t>14094.0</t>
  </si>
  <si>
    <t>2020.0</t>
  </si>
  <si>
    <t>35533.0</t>
  </si>
  <si>
    <t>17495.0</t>
  </si>
  <si>
    <t>71700.0</t>
  </si>
  <si>
    <t>10000.0</t>
  </si>
  <si>
    <t>5000.0</t>
  </si>
  <si>
    <t>34802.0</t>
  </si>
  <si>
    <t>12495.0</t>
  </si>
  <si>
    <t>27879.0</t>
  </si>
  <si>
    <t>12490.0</t>
  </si>
  <si>
    <t>9490.0</t>
  </si>
  <si>
    <t>10761.0</t>
  </si>
  <si>
    <t>24499.0</t>
  </si>
  <si>
    <t>69000.0</t>
  </si>
  <si>
    <t>11500.0</t>
  </si>
  <si>
    <t>77069.0</t>
  </si>
  <si>
    <t>9495.0</t>
  </si>
  <si>
    <t>26700.0</t>
  </si>
  <si>
    <t>11295.0</t>
  </si>
  <si>
    <t>74367.0</t>
  </si>
  <si>
    <t>10750.0</t>
  </si>
  <si>
    <t>78890.0</t>
  </si>
  <si>
    <t>8995.0</t>
  </si>
  <si>
    <t>26041.0</t>
  </si>
  <si>
    <t>14300.0</t>
  </si>
  <si>
    <t>25323.0</t>
  </si>
  <si>
    <t>12600.0</t>
  </si>
  <si>
    <t>34000.0</t>
  </si>
  <si>
    <t>39796.0</t>
  </si>
  <si>
    <t>13470.0</t>
  </si>
  <si>
    <t>60333.0</t>
  </si>
  <si>
    <t>11800.0</t>
  </si>
  <si>
    <t>61696.0</t>
  </si>
  <si>
    <t>12000.0</t>
  </si>
  <si>
    <t>3000.0</t>
  </si>
  <si>
    <t>54086.0</t>
  </si>
  <si>
    <t>8450.0</t>
  </si>
  <si>
    <t>88098.0</t>
  </si>
  <si>
    <t>11450.0</t>
  </si>
  <si>
    <t>57279.0</t>
  </si>
  <si>
    <t>15189.0</t>
  </si>
  <si>
    <t>46600.0</t>
  </si>
  <si>
    <t>64207.0</t>
  </si>
  <si>
    <t>8595.0</t>
  </si>
  <si>
    <t>12433.0</t>
  </si>
  <si>
    <t>21799.0</t>
  </si>
  <si>
    <t>52000.0</t>
  </si>
  <si>
    <t>8399.0</t>
  </si>
  <si>
    <t>50573.0</t>
  </si>
  <si>
    <t>11790.0</t>
  </si>
  <si>
    <t>48925.0</t>
  </si>
  <si>
    <t>9480.0</t>
  </si>
  <si>
    <t>55015.0</t>
  </si>
  <si>
    <t>10299.0</t>
  </si>
  <si>
    <t>55216.0</t>
  </si>
  <si>
    <t>46000.0</t>
  </si>
  <si>
    <t>14950.0</t>
  </si>
  <si>
    <t>61845.0</t>
  </si>
  <si>
    <t>18000.0</t>
  </si>
  <si>
    <t>52200.0</t>
  </si>
  <si>
    <t>10345.0</t>
  </si>
  <si>
    <t>77119.0</t>
  </si>
  <si>
    <t>12940.0</t>
  </si>
  <si>
    <t>81455.0</t>
  </si>
  <si>
    <t>8248.0</t>
  </si>
  <si>
    <t>18725.0</t>
  </si>
  <si>
    <t>20399.0</t>
  </si>
  <si>
    <t>51000.0</t>
  </si>
  <si>
    <t>12725.0</t>
  </si>
  <si>
    <t>76000.0</t>
  </si>
  <si>
    <t>8690.0</t>
  </si>
  <si>
    <t>103886.0</t>
  </si>
  <si>
    <t>7289.0</t>
  </si>
  <si>
    <t>71312.0</t>
  </si>
  <si>
    <t>10888.0</t>
  </si>
  <si>
    <t>38077.0</t>
  </si>
  <si>
    <t>29000.0</t>
  </si>
  <si>
    <t>18990.0</t>
  </si>
  <si>
    <t>103238.0</t>
  </si>
  <si>
    <t>8300.0</t>
  </si>
  <si>
    <t>53800.0</t>
  </si>
  <si>
    <t>13200.0</t>
  </si>
  <si>
    <t>32136.0</t>
  </si>
  <si>
    <t>20000.0</t>
  </si>
  <si>
    <t>11995.0</t>
  </si>
  <si>
    <t>79000.0</t>
  </si>
  <si>
    <t>36964.0</t>
  </si>
  <si>
    <t>13000.0</t>
  </si>
  <si>
    <t>12579.0</t>
  </si>
  <si>
    <t>73199.0</t>
  </si>
  <si>
    <t>55159.0</t>
  </si>
  <si>
    <t>11499.0</t>
  </si>
  <si>
    <t>56284.0</t>
  </si>
  <si>
    <t>10480.0</t>
  </si>
  <si>
    <t>69900.0</t>
  </si>
  <si>
    <t>11280.0</t>
  </si>
  <si>
    <t>44600.0</t>
  </si>
  <si>
    <t>14000.0</t>
  </si>
  <si>
    <t>96182.0</t>
  </si>
  <si>
    <t>8495.0</t>
  </si>
  <si>
    <t>38000.0</t>
  </si>
  <si>
    <t>12699.0</t>
  </si>
  <si>
    <t>22490.0</t>
  </si>
  <si>
    <t>99987.0</t>
  </si>
  <si>
    <t>8950.0</t>
  </si>
  <si>
    <t>32160.0</t>
  </si>
  <si>
    <t>18300.0</t>
  </si>
  <si>
    <t>43152.0</t>
  </si>
  <si>
    <t>93000.0</t>
  </si>
  <si>
    <t>10490.0</t>
  </si>
  <si>
    <t>42798.0</t>
  </si>
  <si>
    <t>13795.0</t>
  </si>
  <si>
    <t>49432.0</t>
  </si>
  <si>
    <t>11695.0</t>
  </si>
  <si>
    <t>32292.0</t>
  </si>
  <si>
    <t>11300.0</t>
  </si>
  <si>
    <t>40465.0</t>
  </si>
  <si>
    <t>16900.0</t>
  </si>
  <si>
    <t>63107.0</t>
  </si>
  <si>
    <t>31818.0</t>
  </si>
  <si>
    <t>13555.0</t>
  </si>
  <si>
    <t>67453.0</t>
  </si>
  <si>
    <t>7691.0</t>
  </si>
  <si>
    <t>90000.0</t>
  </si>
  <si>
    <t>7995.0</t>
  </si>
  <si>
    <t>53552.0</t>
  </si>
  <si>
    <t>11489.0</t>
  </si>
  <si>
    <t>53400.0</t>
  </si>
  <si>
    <t>18995.0</t>
  </si>
  <si>
    <t>36319.0</t>
  </si>
  <si>
    <t>11200.0</t>
  </si>
  <si>
    <t>59651.0</t>
  </si>
  <si>
    <t>9995.0</t>
  </si>
  <si>
    <t>24023.0</t>
  </si>
  <si>
    <t>19990.0</t>
  </si>
  <si>
    <t>20593.0</t>
  </si>
  <si>
    <t>17000.0</t>
  </si>
  <si>
    <t>96000.0</t>
  </si>
  <si>
    <t>8895.0</t>
  </si>
  <si>
    <t>140000.0</t>
  </si>
  <si>
    <t>16699.0</t>
  </si>
  <si>
    <t>24119.0</t>
  </si>
  <si>
    <t>16850.0</t>
  </si>
  <si>
    <t>40009.0</t>
  </si>
  <si>
    <t>10995.0</t>
  </si>
  <si>
    <t>61035.0</t>
  </si>
  <si>
    <t>10598.0</t>
  </si>
  <si>
    <t>27739.0</t>
  </si>
  <si>
    <t>15690.0</t>
  </si>
  <si>
    <t>11495.0</t>
  </si>
  <si>
    <t>49168.0</t>
  </si>
  <si>
    <t>10350.0</t>
  </si>
  <si>
    <t>45800.0</t>
  </si>
  <si>
    <t>14110.0</t>
  </si>
  <si>
    <t>30000.0</t>
  </si>
  <si>
    <t>35423.0</t>
  </si>
  <si>
    <t>18800.0</t>
  </si>
  <si>
    <t>9699.0</t>
  </si>
  <si>
    <t>41000.0</t>
  </si>
  <si>
    <t>49468.0</t>
  </si>
  <si>
    <t>9050.0</t>
  </si>
  <si>
    <t>2022.0</t>
  </si>
  <si>
    <t>2067.0</t>
  </si>
  <si>
    <t>24999.0</t>
  </si>
  <si>
    <t>32152.0</t>
  </si>
  <si>
    <t>14600.0</t>
  </si>
  <si>
    <t>66391.0</t>
  </si>
  <si>
    <t>10250.0</t>
  </si>
  <si>
    <t>62146.0</t>
  </si>
  <si>
    <t>10294.0</t>
  </si>
  <si>
    <t>31000.0</t>
  </si>
  <si>
    <t>2000.0</t>
  </si>
  <si>
    <t>94094.0</t>
  </si>
  <si>
    <t>14400.0</t>
  </si>
  <si>
    <t>36389.0</t>
  </si>
  <si>
    <t>16495.0</t>
  </si>
  <si>
    <t>53000.0</t>
  </si>
  <si>
    <t>10495.0</t>
  </si>
  <si>
    <t>55305.0</t>
  </si>
  <si>
    <t>27811.0</t>
  </si>
  <si>
    <t>22500.0</t>
  </si>
  <si>
    <t>28000.0</t>
  </si>
  <si>
    <t>14250.0</t>
  </si>
  <si>
    <t>19511.0</t>
  </si>
  <si>
    <t>17490.0</t>
  </si>
  <si>
    <t>80253.0</t>
  </si>
  <si>
    <t>11099.0</t>
  </si>
  <si>
    <t>13594.0</t>
  </si>
  <si>
    <t>42000.0</t>
  </si>
  <si>
    <t>13999.0</t>
  </si>
  <si>
    <t>30500.0</t>
  </si>
  <si>
    <t>14974.0</t>
  </si>
  <si>
    <t>29154.0</t>
  </si>
  <si>
    <t>12950.0</t>
  </si>
  <si>
    <t>31679.0</t>
  </si>
  <si>
    <t>13350.0</t>
  </si>
  <si>
    <t>37853.0</t>
  </si>
  <si>
    <t>17295.0</t>
  </si>
  <si>
    <t>69541.0</t>
  </si>
  <si>
    <t>9375.0</t>
  </si>
  <si>
    <t>74074.0</t>
  </si>
  <si>
    <t>39732.0</t>
  </si>
  <si>
    <t>14500.0</t>
  </si>
  <si>
    <t>27235.0</t>
  </si>
  <si>
    <t>13490.0</t>
  </si>
  <si>
    <t>10719.0</t>
  </si>
  <si>
    <t>18699.0</t>
  </si>
  <si>
    <t>31632.0</t>
  </si>
  <si>
    <t>11799.0</t>
  </si>
  <si>
    <t>10428.0</t>
  </si>
  <si>
    <t>18989.0</t>
  </si>
  <si>
    <t>36694.0</t>
  </si>
  <si>
    <t>13995.0</t>
  </si>
  <si>
    <t>86929.0</t>
  </si>
  <si>
    <t>10094.0</t>
  </si>
  <si>
    <t>50789.0</t>
  </si>
  <si>
    <t>11620.0</t>
  </si>
  <si>
    <t>25822.0</t>
  </si>
  <si>
    <t>17200.0</t>
  </si>
  <si>
    <t>20600.0</t>
  </si>
  <si>
    <t>17950.0</t>
  </si>
  <si>
    <t>44183.0</t>
  </si>
  <si>
    <t>11390.0</t>
  </si>
  <si>
    <t>8499.0</t>
  </si>
  <si>
    <t>24854.0</t>
  </si>
  <si>
    <t>32000.0</t>
  </si>
  <si>
    <t>11490.0</t>
  </si>
  <si>
    <t>1500.0</t>
  </si>
  <si>
    <t>30450.0</t>
  </si>
  <si>
    <t>53182.0</t>
  </si>
  <si>
    <t>9950.0</t>
  </si>
  <si>
    <t>35828.0</t>
  </si>
  <si>
    <t>16300.0</t>
  </si>
  <si>
    <t>51024.0</t>
  </si>
  <si>
    <t>14750.0</t>
  </si>
  <si>
    <t>98000.0</t>
  </si>
  <si>
    <t>7790.0</t>
  </si>
  <si>
    <t>61500.0</t>
  </si>
  <si>
    <t>98500.0</t>
  </si>
  <si>
    <t>8994.0</t>
  </si>
  <si>
    <t>56659.0</t>
  </si>
  <si>
    <t>10699.0</t>
  </si>
  <si>
    <t>9395.0</t>
  </si>
  <si>
    <t>41628.0</t>
  </si>
  <si>
    <t>26754.0</t>
  </si>
  <si>
    <t>14900.0</t>
  </si>
  <si>
    <t>13250.0</t>
  </si>
  <si>
    <t>55000.0</t>
  </si>
  <si>
    <t>11454.0</t>
  </si>
  <si>
    <t>47540.0</t>
  </si>
  <si>
    <t>8850.0</t>
  </si>
  <si>
    <t>105604.0</t>
  </si>
  <si>
    <t>6655.0</t>
  </si>
  <si>
    <t>31579.0</t>
  </si>
  <si>
    <t>15995.0</t>
  </si>
  <si>
    <t>92000.0</t>
  </si>
  <si>
    <t>7000.0</t>
  </si>
  <si>
    <t>10993.0</t>
  </si>
  <si>
    <t>69362.0</t>
  </si>
  <si>
    <t>9300.0</t>
  </si>
  <si>
    <t>2021.0</t>
  </si>
  <si>
    <t>780.0</t>
  </si>
  <si>
    <t>20495.0</t>
  </si>
  <si>
    <t>30718.0</t>
  </si>
  <si>
    <t>11268.0</t>
  </si>
  <si>
    <t>36000.0</t>
  </si>
  <si>
    <t>17995.0</t>
  </si>
  <si>
    <t>56644.0</t>
  </si>
  <si>
    <t>9999.0</t>
  </si>
  <si>
    <t>73534.0</t>
  </si>
  <si>
    <t>10579.0</t>
  </si>
  <si>
    <t>71000.0</t>
  </si>
  <si>
    <t>8700.0</t>
  </si>
  <si>
    <t>30576.0</t>
  </si>
  <si>
    <t>11989.0</t>
  </si>
  <si>
    <t>26404.0</t>
  </si>
  <si>
    <t>16689.0</t>
  </si>
  <si>
    <t>79500.0</t>
  </si>
  <si>
    <t>73000.0</t>
  </si>
  <si>
    <t>67258.0</t>
  </si>
  <si>
    <t>80000.0</t>
  </si>
  <si>
    <t>6795.0</t>
  </si>
  <si>
    <t>120000.0</t>
  </si>
  <si>
    <t>7980.0</t>
  </si>
  <si>
    <t>22214.0</t>
  </si>
  <si>
    <t>21100.0</t>
  </si>
  <si>
    <t>18250.0</t>
  </si>
  <si>
    <t>24495.0</t>
  </si>
  <si>
    <t>36610.0</t>
  </si>
  <si>
    <t>10847.0</t>
  </si>
  <si>
    <t>18395.0</t>
  </si>
  <si>
    <t>99976.0</t>
  </si>
  <si>
    <t>7695.0</t>
  </si>
  <si>
    <t>112500.0</t>
  </si>
  <si>
    <t>7699.0</t>
  </si>
  <si>
    <t>36107.0</t>
  </si>
  <si>
    <t>109725.0</t>
  </si>
  <si>
    <t>7089.0</t>
  </si>
  <si>
    <t>70332.0</t>
  </si>
  <si>
    <t>15356.0</t>
  </si>
  <si>
    <t>14795.0</t>
  </si>
  <si>
    <t>17634.0</t>
  </si>
  <si>
    <t>20995.0</t>
  </si>
  <si>
    <t>30051.0</t>
  </si>
  <si>
    <t>22451.0</t>
  </si>
  <si>
    <t>21200.0</t>
  </si>
  <si>
    <t>39500.0</t>
  </si>
  <si>
    <t>12200.0</t>
  </si>
  <si>
    <t>15476.0</t>
  </si>
  <si>
    <t>17970.0</t>
  </si>
  <si>
    <t>24420.0</t>
  </si>
  <si>
    <t>18500.0</t>
  </si>
  <si>
    <t>5246.0</t>
  </si>
  <si>
    <t>25890.0</t>
  </si>
  <si>
    <t>29290.0</t>
  </si>
  <si>
    <t>56215.0</t>
  </si>
  <si>
    <t>92152.0</t>
  </si>
  <si>
    <t>6500.0</t>
  </si>
  <si>
    <t>23232.0</t>
  </si>
  <si>
    <t>21390.0</t>
  </si>
  <si>
    <t>74820.0</t>
  </si>
  <si>
    <t>9250.0</t>
  </si>
  <si>
    <t>19000.0</t>
  </si>
  <si>
    <t>18295.0</t>
  </si>
  <si>
    <t>71120.0</t>
  </si>
  <si>
    <t>7399.0</t>
  </si>
  <si>
    <t>59747.0</t>
  </si>
  <si>
    <t>9750.0</t>
  </si>
  <si>
    <t>39833.0</t>
  </si>
  <si>
    <t>8790.0</t>
  </si>
  <si>
    <t>364.0</t>
  </si>
  <si>
    <t>25399.0</t>
  </si>
  <si>
    <t>98044.0</t>
  </si>
  <si>
    <t>7989.0</t>
  </si>
  <si>
    <t>28499.0</t>
  </si>
  <si>
    <t>36242.0</t>
  </si>
  <si>
    <t>11399.0</t>
  </si>
  <si>
    <t>18994.0</t>
  </si>
  <si>
    <t>23550.0</t>
  </si>
  <si>
    <t>12400.0</t>
  </si>
  <si>
    <t>7130.0</t>
  </si>
  <si>
    <t>14700.0</t>
  </si>
  <si>
    <t>11850.0</t>
  </si>
  <si>
    <t>37822.0</t>
  </si>
  <si>
    <t>50000.0</t>
  </si>
  <si>
    <t>10990.0</t>
  </si>
  <si>
    <t>5495.0</t>
  </si>
  <si>
    <t>22199.0</t>
  </si>
  <si>
    <t>20999.0</t>
  </si>
  <si>
    <t>27373.0</t>
  </si>
  <si>
    <t>15590.0</t>
  </si>
  <si>
    <t>63076.0</t>
  </si>
  <si>
    <t>9590.0</t>
  </si>
  <si>
    <t>29100.0</t>
  </si>
  <si>
    <t>19500.0</t>
  </si>
  <si>
    <t>16990.0</t>
  </si>
  <si>
    <t>74000.0</t>
  </si>
  <si>
    <t>8500.0</t>
  </si>
  <si>
    <t>76923.0</t>
  </si>
  <si>
    <t>20490.0</t>
  </si>
  <si>
    <t>23010.0</t>
  </si>
  <si>
    <t>95850.0</t>
  </si>
  <si>
    <t>56063.0</t>
  </si>
  <si>
    <t>11990.0</t>
  </si>
  <si>
    <t>116100.0</t>
  </si>
  <si>
    <t>66000.0</t>
  </si>
  <si>
    <t>72089.0</t>
  </si>
  <si>
    <t>9000.0</t>
  </si>
  <si>
    <t>85000.0</t>
  </si>
  <si>
    <t>16997.0</t>
  </si>
  <si>
    <t>21995.0</t>
  </si>
  <si>
    <t>16680.0</t>
  </si>
  <si>
    <t>20101.0</t>
  </si>
  <si>
    <t>16970.0</t>
  </si>
  <si>
    <t>18787.0</t>
  </si>
  <si>
    <t>9700.0</t>
  </si>
  <si>
    <t>24990.0</t>
  </si>
  <si>
    <t>14236.0</t>
  </si>
  <si>
    <t>19499.0</t>
  </si>
  <si>
    <t>50765.0</t>
  </si>
  <si>
    <t>11590.0</t>
  </si>
  <si>
    <t>17852.0</t>
  </si>
  <si>
    <t>21066.0</t>
  </si>
  <si>
    <t>30990.0</t>
  </si>
  <si>
    <t>12979.0</t>
  </si>
  <si>
    <t>92253.0</t>
  </si>
  <si>
    <t>26000.0</t>
  </si>
  <si>
    <t>12190.0</t>
  </si>
  <si>
    <t>39792.0</t>
  </si>
  <si>
    <t>87600.0</t>
  </si>
  <si>
    <t>14779.0</t>
  </si>
  <si>
    <t>17990.0</t>
  </si>
  <si>
    <t>20800.0</t>
  </si>
  <si>
    <t>10695.0</t>
  </si>
  <si>
    <t>58000.0</t>
  </si>
  <si>
    <t>12749.0</t>
  </si>
  <si>
    <t>30700.0</t>
  </si>
  <si>
    <t>11494.0</t>
  </si>
  <si>
    <t>38464.0</t>
  </si>
  <si>
    <t>9660.0</t>
  </si>
  <si>
    <t>30657.0</t>
  </si>
  <si>
    <t>13749.0</t>
  </si>
  <si>
    <t>8803.0</t>
  </si>
  <si>
    <t>20095.0</t>
  </si>
  <si>
    <t>3529.0</t>
  </si>
  <si>
    <t>25995.0</t>
  </si>
  <si>
    <t>12107.0</t>
  </si>
  <si>
    <t>17198.0</t>
  </si>
  <si>
    <t>55993.0</t>
  </si>
  <si>
    <t>9850.0</t>
  </si>
  <si>
    <t>26350.0</t>
  </si>
  <si>
    <t>18495.0</t>
  </si>
  <si>
    <t>74358.0</t>
  </si>
  <si>
    <t>9799.0</t>
  </si>
  <si>
    <t>52100.0</t>
  </si>
  <si>
    <t>7510.0</t>
  </si>
  <si>
    <t>55805.0</t>
  </si>
  <si>
    <t>19299.0</t>
  </si>
  <si>
    <t>68000.0</t>
  </si>
  <si>
    <t>6990.0</t>
  </si>
  <si>
    <t>20745.0</t>
  </si>
  <si>
    <t>20671.0</t>
  </si>
  <si>
    <t>20500.0</t>
  </si>
  <si>
    <t>16019.0</t>
  </si>
  <si>
    <t>20555.0</t>
  </si>
  <si>
    <t>15817.0</t>
  </si>
  <si>
    <t>20470.0</t>
  </si>
  <si>
    <t>11999.0</t>
  </si>
  <si>
    <t>19868.0</t>
  </si>
  <si>
    <t>23645.0</t>
  </si>
  <si>
    <t>21490.0</t>
  </si>
  <si>
    <t>8600.0</t>
  </si>
  <si>
    <t>111000.0</t>
  </si>
  <si>
    <t>7450.0</t>
  </si>
  <si>
    <t>11991.0</t>
  </si>
  <si>
    <t>103104.0</t>
  </si>
  <si>
    <t>8250.0</t>
  </si>
  <si>
    <t>106000.0</t>
  </si>
  <si>
    <t>16200.0</t>
  </si>
  <si>
    <t>19995.0</t>
  </si>
  <si>
    <t>10279.0</t>
  </si>
  <si>
    <t>29126.0</t>
  </si>
  <si>
    <t>15043.0</t>
  </si>
  <si>
    <t>62057.0</t>
  </si>
  <si>
    <t>11115.0</t>
  </si>
  <si>
    <t>20322.0</t>
  </si>
  <si>
    <t>21000.0</t>
  </si>
  <si>
    <t>12695.0</t>
  </si>
  <si>
    <t>81500.0</t>
  </si>
  <si>
    <t>7495.0</t>
  </si>
  <si>
    <t>23000.0</t>
  </si>
  <si>
    <t>16555.0</t>
  </si>
  <si>
    <t>77669.0</t>
  </si>
  <si>
    <t>23390.0</t>
  </si>
  <si>
    <t>19610.0</t>
  </si>
  <si>
    <t>21555.0</t>
  </si>
  <si>
    <t>4050.0</t>
  </si>
  <si>
    <t>5008.0</t>
  </si>
  <si>
    <t>26900.0</t>
  </si>
  <si>
    <t>55626.0</t>
  </si>
  <si>
    <t>46400.0</t>
  </si>
  <si>
    <t>37735.0</t>
  </si>
  <si>
    <t>13980.0</t>
  </si>
  <si>
    <t>35550.0</t>
  </si>
  <si>
    <t>33126.0</t>
  </si>
  <si>
    <t>13495.0</t>
  </si>
  <si>
    <t>25000.0</t>
  </si>
  <si>
    <t>14949.0</t>
  </si>
  <si>
    <t>11775.0</t>
  </si>
  <si>
    <t>25990.0</t>
  </si>
  <si>
    <t>53019.0</t>
  </si>
  <si>
    <t>15990.0</t>
  </si>
  <si>
    <t>24850.0</t>
  </si>
  <si>
    <t>120690.0</t>
  </si>
  <si>
    <t>6690.0</t>
  </si>
  <si>
    <t>37963.0</t>
  </si>
  <si>
    <t>19991.0</t>
  </si>
  <si>
    <t>15970.0</t>
  </si>
  <si>
    <t>24950.0</t>
  </si>
  <si>
    <t>19799.0</t>
  </si>
  <si>
    <t>63935.0</t>
  </si>
  <si>
    <t>8750.0</t>
  </si>
  <si>
    <t>33549.0</t>
  </si>
  <si>
    <t>35781.0</t>
  </si>
  <si>
    <t>11998.0</t>
  </si>
  <si>
    <t>51157.0</t>
  </si>
  <si>
    <t>28002.0</t>
  </si>
  <si>
    <t>13946.0</t>
  </si>
  <si>
    <t>78300.0</t>
  </si>
  <si>
    <t>14800.0</t>
  </si>
  <si>
    <t>56212.0</t>
  </si>
  <si>
    <t>10431.0</t>
  </si>
  <si>
    <t>55280.0</t>
  </si>
  <si>
    <t>12066.0</t>
  </si>
  <si>
    <t>22995.0</t>
  </si>
  <si>
    <t>31822.0</t>
  </si>
  <si>
    <t>20150.0</t>
  </si>
  <si>
    <t>21210.0</t>
  </si>
  <si>
    <t>72291.0</t>
  </si>
  <si>
    <t>9975.0</t>
  </si>
  <si>
    <t>25789.0</t>
  </si>
  <si>
    <t>17750.0</t>
  </si>
  <si>
    <t>149000.0</t>
  </si>
  <si>
    <t>6489.0</t>
  </si>
  <si>
    <t>9500.0</t>
  </si>
  <si>
    <t>2971.0</t>
  </si>
  <si>
    <t>26499.0</t>
  </si>
  <si>
    <t>9044.0</t>
  </si>
  <si>
    <t>55747.0</t>
  </si>
  <si>
    <t>10779.0</t>
  </si>
  <si>
    <t>2108.0</t>
  </si>
  <si>
    <t>48567.0</t>
  </si>
  <si>
    <t>13560.0</t>
  </si>
  <si>
    <t>21137.0</t>
  </si>
  <si>
    <t>34643.0</t>
  </si>
  <si>
    <t>51493.0</t>
  </si>
  <si>
    <t>9299.0</t>
  </si>
  <si>
    <t>9890.0</t>
  </si>
  <si>
    <t>16700.0</t>
  </si>
  <si>
    <t>95795.0</t>
  </si>
  <si>
    <t>8195.0</t>
  </si>
  <si>
    <t>64000.0</t>
  </si>
  <si>
    <t>7145.0</t>
  </si>
  <si>
    <t>56642.0</t>
  </si>
  <si>
    <t>2688.0</t>
  </si>
  <si>
    <t>11972.0</t>
  </si>
  <si>
    <t>20300.0</t>
  </si>
  <si>
    <t>34622.0</t>
  </si>
  <si>
    <t>13730.0</t>
  </si>
  <si>
    <t>17989.0</t>
  </si>
  <si>
    <t>50809.0</t>
  </si>
  <si>
    <t>13289.0</t>
  </si>
  <si>
    <t>28897.0</t>
  </si>
  <si>
    <t>16847.0</t>
  </si>
  <si>
    <t>57330.0</t>
  </si>
  <si>
    <t>9900.0</t>
  </si>
  <si>
    <t>16866.0</t>
  </si>
  <si>
    <t>34100.0</t>
  </si>
  <si>
    <t>2642.0</t>
  </si>
  <si>
    <t>17499.0</t>
  </si>
  <si>
    <t>25300.0</t>
  </si>
  <si>
    <t>19495.0</t>
  </si>
  <si>
    <t>43411.0</t>
  </si>
  <si>
    <t>72417.0</t>
  </si>
  <si>
    <t>9978.0</t>
  </si>
  <si>
    <t>35730.0</t>
  </si>
  <si>
    <t>12100.0</t>
  </si>
  <si>
    <t>48300.0</t>
  </si>
  <si>
    <t>11700.0</t>
  </si>
  <si>
    <t>15187.0</t>
  </si>
  <si>
    <t>17567.0</t>
  </si>
  <si>
    <t>19999.0</t>
  </si>
  <si>
    <t>50187.0</t>
  </si>
  <si>
    <t>47000.0</t>
  </si>
  <si>
    <t>70633.0</t>
  </si>
  <si>
    <t>10980.0</t>
  </si>
  <si>
    <t>5550.0</t>
  </si>
  <si>
    <t>24795.0</t>
  </si>
  <si>
    <t>17999.0</t>
  </si>
  <si>
    <t>63000.0</t>
  </si>
  <si>
    <t>10700.0</t>
  </si>
  <si>
    <t>35251.0</t>
  </si>
  <si>
    <t>13456.0</t>
  </si>
  <si>
    <t>19750.0</t>
  </si>
  <si>
    <t>31925.0</t>
  </si>
  <si>
    <t>33579.0</t>
  </si>
  <si>
    <t>12499.0</t>
  </si>
  <si>
    <t>43266.0</t>
  </si>
  <si>
    <t>13679.0</t>
  </si>
  <si>
    <t>40236.0</t>
  </si>
  <si>
    <t>10790.0</t>
  </si>
  <si>
    <t>26660.0</t>
  </si>
  <si>
    <t>44559.0</t>
  </si>
  <si>
    <t>32877.0</t>
  </si>
  <si>
    <t>18999.0</t>
  </si>
  <si>
    <t>64986.0</t>
  </si>
  <si>
    <t>15769.0</t>
  </si>
  <si>
    <t>16257.0</t>
  </si>
  <si>
    <t>19790.0</t>
  </si>
  <si>
    <t>40778.0</t>
  </si>
  <si>
    <t>16698.0</t>
  </si>
  <si>
    <t>20499.0</t>
  </si>
  <si>
    <t>60125.0</t>
  </si>
  <si>
    <t>13997.0</t>
  </si>
  <si>
    <t>17442.0</t>
  </si>
  <si>
    <t>17790.0</t>
  </si>
  <si>
    <t>29995.0</t>
  </si>
  <si>
    <t>14201.0</t>
  </si>
  <si>
    <t>46388.0</t>
  </si>
  <si>
    <t>10999.0</t>
  </si>
  <si>
    <t>13290.0</t>
  </si>
  <si>
    <t>17690.0</t>
  </si>
  <si>
    <t>32396.0</t>
  </si>
  <si>
    <t>13945.0</t>
  </si>
  <si>
    <t>13681.0</t>
  </si>
  <si>
    <t>10306.0</t>
  </si>
  <si>
    <t>21950.0</t>
  </si>
  <si>
    <t>16400.0</t>
  </si>
  <si>
    <t>14444.0</t>
  </si>
  <si>
    <t>72653.0</t>
  </si>
  <si>
    <t>9350.0</t>
  </si>
  <si>
    <t>41400.0</t>
  </si>
  <si>
    <t>18580.0</t>
  </si>
  <si>
    <t>67822.0</t>
  </si>
  <si>
    <t>12999.0</t>
  </si>
  <si>
    <t>43248.0</t>
  </si>
  <si>
    <t>9.0</t>
  </si>
  <si>
    <t>29990.0</t>
  </si>
  <si>
    <t>4293.0</t>
  </si>
  <si>
    <t>27179.0</t>
  </si>
  <si>
    <t>14490.0</t>
  </si>
  <si>
    <t>24790.0</t>
  </si>
  <si>
    <t>48800.0</t>
  </si>
  <si>
    <t>39000.0</t>
  </si>
  <si>
    <t>11299.0</t>
  </si>
  <si>
    <t>16459.0</t>
  </si>
  <si>
    <t>16985.0</t>
  </si>
  <si>
    <t>8299.0</t>
  </si>
  <si>
    <t>64800.0</t>
  </si>
  <si>
    <t>9690.0</t>
  </si>
  <si>
    <t>9450.0</t>
  </si>
  <si>
    <t>10045.0</t>
  </si>
  <si>
    <t>17100.0</t>
  </si>
  <si>
    <t>8476.0</t>
  </si>
  <si>
    <t>18600.0</t>
  </si>
  <si>
    <t>60000.0</t>
  </si>
  <si>
    <t>11690.0</t>
  </si>
  <si>
    <t>28342.0</t>
  </si>
  <si>
    <t>16250.0</t>
  </si>
  <si>
    <t>25488.0</t>
  </si>
  <si>
    <t>18380.0</t>
  </si>
  <si>
    <t>17900.0</t>
  </si>
  <si>
    <t>13320.0</t>
  </si>
  <si>
    <t>22499.0</t>
  </si>
  <si>
    <t>20642.0</t>
  </si>
  <si>
    <t>55635.0</t>
  </si>
  <si>
    <t>12180.0</t>
  </si>
  <si>
    <t>139700.0</t>
  </si>
  <si>
    <t>5250.0</t>
  </si>
  <si>
    <t>10500.0</t>
  </si>
  <si>
    <t>36797.0</t>
  </si>
  <si>
    <t>14295.0</t>
  </si>
  <si>
    <t>29726.0</t>
  </si>
  <si>
    <t>47250.0</t>
  </si>
  <si>
    <t>12449.0</t>
  </si>
  <si>
    <t>45000.0</t>
  </si>
  <si>
    <t>11979.0</t>
  </si>
  <si>
    <t>88375.0</t>
  </si>
  <si>
    <t>35584.0</t>
  </si>
  <si>
    <t>13500.0</t>
  </si>
  <si>
    <t>11411.0</t>
  </si>
  <si>
    <t>20629.0</t>
  </si>
  <si>
    <t>63215.0</t>
  </si>
  <si>
    <t>19143.0</t>
  </si>
  <si>
    <t>26373.0</t>
  </si>
  <si>
    <t>15999.0</t>
  </si>
  <si>
    <t>22289.0</t>
  </si>
  <si>
    <t>14495.0</t>
  </si>
  <si>
    <t>8555.0</t>
  </si>
  <si>
    <t>25290.0</t>
  </si>
  <si>
    <t>12714.0</t>
  </si>
  <si>
    <t>18640.0</t>
  </si>
  <si>
    <t>37777.0</t>
  </si>
  <si>
    <t>17421.0</t>
  </si>
  <si>
    <t>72475.0</t>
  </si>
  <si>
    <t>41694.0</t>
  </si>
  <si>
    <t>12595.0</t>
  </si>
  <si>
    <t>28950.0</t>
  </si>
  <si>
    <t>10499.0</t>
  </si>
  <si>
    <t>7981.0</t>
  </si>
  <si>
    <t>19470.0</t>
  </si>
  <si>
    <t>20203.0</t>
  </si>
  <si>
    <t>18470.0</t>
  </si>
  <si>
    <t>14499.0</t>
  </si>
  <si>
    <t>21704.0</t>
  </si>
  <si>
    <t>14980.0</t>
  </si>
  <si>
    <t>17126.0</t>
  </si>
  <si>
    <t>15643.0</t>
  </si>
  <si>
    <t>40195.0</t>
  </si>
  <si>
    <t>11275.0</t>
  </si>
  <si>
    <t>26218.0</t>
  </si>
  <si>
    <t>48571.0</t>
  </si>
  <si>
    <t>9584.0</t>
  </si>
  <si>
    <t>19970.0</t>
  </si>
  <si>
    <t>17303.0</t>
  </si>
  <si>
    <t>17195.0</t>
  </si>
  <si>
    <t>Etiquetas de fila</t>
  </si>
  <si>
    <t>Total general</t>
  </si>
  <si>
    <t>Etiquetas de columna</t>
  </si>
  <si>
    <t>Suma de Precio (Moneda)</t>
  </si>
  <si>
    <t>Funcion</t>
  </si>
  <si>
    <t>Respuesta</t>
  </si>
  <si>
    <t>SUMAR.SI</t>
  </si>
  <si>
    <t>SUMA()</t>
  </si>
  <si>
    <t>INDICE</t>
  </si>
  <si>
    <t>INDICE-COINCIDIR-MAX</t>
  </si>
  <si>
    <t>¿Cuánto se vendió en total en el año 2022, sumando todos los motores?</t>
  </si>
  <si>
    <t>¿En qué año hubo la mayor venta total del motor 2.0?</t>
  </si>
  <si>
    <t>¿Cuál fue el valor promedio de ventas para motor 1.4?</t>
  </si>
  <si>
    <t>PROMEDIO</t>
  </si>
  <si>
    <t>MIN</t>
  </si>
  <si>
    <t>¿Cuál fue la menor venta anual del motor 1.0?</t>
  </si>
  <si>
    <t>CONTAR.SI</t>
  </si>
  <si>
    <t>¿Cuántos años tuvieron ventas del motor 1.0 mayores a $600.000?</t>
  </si>
  <si>
    <t>BUSCARV</t>
  </si>
  <si>
    <t>¿Cuánto se vendió con motor 1.4L en 2016?</t>
  </si>
  <si>
    <t>¿Qué año tuvo la venta mínima total (sumando todos los motores)?</t>
  </si>
  <si>
    <t>¿Cuántos motores tuvieron ventas superiores a $500.000 en el año 2023?</t>
  </si>
  <si>
    <t>SUMAR.SI.CONJUNTO</t>
  </si>
  <si>
    <t>¿Cuál es la suma total de precios de todos los autos vendidos en el año 2020?</t>
  </si>
  <si>
    <t>Mercado Audi A1 usado</t>
  </si>
  <si>
    <t>Venta</t>
  </si>
  <si>
    <t>No venta</t>
  </si>
  <si>
    <t>Pregunta</t>
  </si>
  <si>
    <t>¿Cuál es el precio total con motor 1.6 en todos los años?</t>
  </si>
  <si>
    <t>Vendedor</t>
  </si>
  <si>
    <t>Araceli</t>
  </si>
  <si>
    <t>Daniel</t>
  </si>
  <si>
    <t>Leila</t>
  </si>
  <si>
    <t>Sebastian</t>
  </si>
  <si>
    <t>CONTAR.SI.CONJUNTO</t>
  </si>
  <si>
    <t>PROMEDIO.SI.CONJUNTO</t>
  </si>
  <si>
    <t>¿Qué diferencia hay en el total de ventas entre autos con 1 propietario y autos con 2 propietarios?</t>
  </si>
  <si>
    <t>MAX.SI.CONJUNTO</t>
  </si>
  <si>
    <t>¿Cuál fue el promedio de kilometraje de los autos vendidos en 2019 por Daniel?</t>
  </si>
  <si>
    <t>¿Qué vendedor logró el precio de venta más bajo en toda la base?</t>
  </si>
  <si>
    <t>¿cuántos autos vendió Araceli en 2020?</t>
  </si>
  <si>
    <t>¿cuántos autos vendió Daniel en 2020?</t>
  </si>
  <si>
    <t>¿cuántos autos vendió Leila en 2020?</t>
  </si>
  <si>
    <t>¿cuántos autos vendió Sebastian en 2020?</t>
  </si>
  <si>
    <t>(en blanco)</t>
  </si>
  <si>
    <t>TOTAL DE VENTAS POR OPERADOR</t>
  </si>
  <si>
    <t>PROMEDIO DE MARGEN DE GANANCIA VENDEDOR</t>
  </si>
  <si>
    <t>Promedio de Precio (Moneda)</t>
  </si>
  <si>
    <t>¿Cuál es el auto más caro vendido por Sebastian en 2022?</t>
  </si>
  <si>
    <t>¿Cuál fue el precio promedio de los autos vendidos por Leila en 2021 con más de 10,000 km?</t>
  </si>
  <si>
    <t>¿Cuántos autos vendió Daniel con transmisión Manual y motor 1.0L en todo el período?</t>
  </si>
  <si>
    <t>NUMERO DE VENTAS REALIZADAS POR OPERADOR</t>
  </si>
  <si>
    <t>Cuenta de Vendedor</t>
  </si>
  <si>
    <t>VENTAS POR AÑO VENDEDORES</t>
  </si>
  <si>
    <t>VENTAS POR AÑO SUMA DE PRECIO</t>
  </si>
  <si>
    <t>VENTAS POR MOTOR</t>
  </si>
  <si>
    <t>VENTAS POR TRANSMISION Y VENDEDOR</t>
  </si>
  <si>
    <t>PROMEDIO DE PRECIO SEGÚN AÑO Y MOTOR</t>
  </si>
  <si>
    <t>COMPARATIVO COMBUSTIBLE</t>
  </si>
  <si>
    <t>VENTAS PROMEDIO POR NUMERO DE PROPIETARIOS</t>
  </si>
  <si>
    <t>transmision</t>
  </si>
  <si>
    <t>combustible</t>
  </si>
  <si>
    <t>propietario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</si>
</sst>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$$-2C0A]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color theme="4" tint="-0.249977111117893"/>
      <name val="Times New Roman"/>
      <family val="1"/>
    </font>
    <font>
      <b/>
      <sz val="20"/>
      <color theme="1"/>
      <name val="Times New Roman"/>
      <family val="1"/>
    </font>
    <font>
      <b/>
      <u/>
      <sz val="20"/>
      <color theme="5" tint="-0.249977111117893"/>
      <name val="Times New Roman"/>
      <family val="1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0" fillId="0" borderId="1" xfId="0" applyBorder="1"/>
    <xf numFmtId="164" fontId="0" fillId="0" borderId="1" xfId="1" applyNumberFormat="1" applyFont="1" applyBorder="1"/>
    <xf numFmtId="164" fontId="0" fillId="0" borderId="1" xfId="0" applyNumberFormat="1" applyBorder="1"/>
    <xf numFmtId="0" fontId="0" fillId="2" borderId="0" xfId="0" applyFill="1"/>
    <xf numFmtId="0" fontId="4" fillId="2" borderId="0" xfId="0" applyFont="1" applyFill="1" applyAlignment="1">
      <alignment horizontal="center"/>
    </xf>
    <xf numFmtId="164" fontId="0" fillId="0" borderId="0" xfId="0" applyNumberFormat="1"/>
    <xf numFmtId="0" fontId="2" fillId="3" borderId="1" xfId="0" applyFont="1" applyFill="1" applyBorder="1" applyAlignment="1">
      <alignment horizontal="center"/>
    </xf>
    <xf numFmtId="0" fontId="2" fillId="4" borderId="0" xfId="0" applyFont="1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NumberFormat="1"/>
    <xf numFmtId="164" fontId="6" fillId="5" borderId="1" xfId="0" applyNumberFormat="1" applyFont="1" applyFill="1" applyBorder="1"/>
  </cellXfs>
  <cellStyles count="2">
    <cellStyle name="Moneda" xfId="1" builtinId="4"/>
    <cellStyle name="Normal" xfId="0" builtinId="0"/>
  </cellStyles>
  <dxfs count="3">
    <dxf>
      <numFmt numFmtId="164" formatCode="[$$-2C0A]\ #,##0.00"/>
    </dxf>
    <dxf>
      <numFmt numFmtId="164" formatCode="[$$-2C0A]\ #,##0.00"/>
    </dxf>
    <dxf>
      <numFmt numFmtId="164" formatCode="[$$-2C0A]\ #,##0.00"/>
    </dxf>
  </dxfs>
  <tableStyles count="0" defaultTableStyle="TableStyleMedium9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Promedio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Dinamica'!$B$2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Dinamica'!$A$3:$A$8</c:f>
              <c:strCache>
                <c:ptCount val="5"/>
                <c:pt idx="0">
                  <c:v>Araceli</c:v>
                </c:pt>
                <c:pt idx="1">
                  <c:v>Daniel</c:v>
                </c:pt>
                <c:pt idx="2">
                  <c:v>Leila</c:v>
                </c:pt>
                <c:pt idx="3">
                  <c:v>Sebastian</c:v>
                </c:pt>
                <c:pt idx="4">
                  <c:v>(en blanco)</c:v>
                </c:pt>
              </c:strCache>
            </c:strRef>
          </c:cat>
          <c:val>
            <c:numRef>
              <c:f>'Tabla Dinamica'!$B$3:$B$8</c:f>
              <c:numCache>
                <c:formatCode>[$$-2C0A]\ #,##0.00</c:formatCode>
                <c:ptCount val="5"/>
                <c:pt idx="0">
                  <c:v>14005.194174757282</c:v>
                </c:pt>
                <c:pt idx="1">
                  <c:v>13943.601398601399</c:v>
                </c:pt>
                <c:pt idx="2">
                  <c:v>13845.603658536585</c:v>
                </c:pt>
                <c:pt idx="3">
                  <c:v>14037.196721311475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2-4809-922A-5FD80493D0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01767568"/>
        <c:axId val="1001771408"/>
      </c:barChart>
      <c:catAx>
        <c:axId val="100176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01771408"/>
        <c:crosses val="autoZero"/>
        <c:auto val="1"/>
        <c:lblAlgn val="ctr"/>
        <c:lblOffset val="100"/>
        <c:noMultiLvlLbl val="0"/>
      </c:catAx>
      <c:valAx>
        <c:axId val="10017714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[$$-2C0A]\ #,##0.00" sourceLinked="1"/>
        <c:majorTickMark val="out"/>
        <c:minorTickMark val="none"/>
        <c:tickLblPos val="nextTo"/>
        <c:crossAx val="100176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9.2081031307550652E-3"/>
              <c:y val="-0.138888888888888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"/>
              <c:y val="-0.27314814814814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"/>
              <c:y val="-0.263888888888888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"/>
              <c:y val="-0.199074074074074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'Tabla Dinamica'!$E$2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0"/>
                  <c:y val="-0.1990740740740740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C2-4E67-A5FB-00691CC70A36}"/>
                </c:ext>
              </c:extLst>
            </c:dLbl>
            <c:dLbl>
              <c:idx val="1"/>
              <c:layout>
                <c:manualLayout>
                  <c:x val="0"/>
                  <c:y val="-0.2638888888888889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C2-4E67-A5FB-00691CC70A36}"/>
                </c:ext>
              </c:extLst>
            </c:dLbl>
            <c:dLbl>
              <c:idx val="2"/>
              <c:layout>
                <c:manualLayout>
                  <c:x val="0"/>
                  <c:y val="-0.273148148148148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9C2-4E67-A5FB-00691CC70A36}"/>
                </c:ext>
              </c:extLst>
            </c:dLbl>
            <c:dLbl>
              <c:idx val="3"/>
              <c:layout>
                <c:manualLayout>
                  <c:x val="-9.2081031307550652E-3"/>
                  <c:y val="-0.1388888888888889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C2-4E67-A5FB-00691CC70A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Dinamica'!$D$3:$D$7</c:f>
              <c:strCache>
                <c:ptCount val="4"/>
                <c:pt idx="0">
                  <c:v>Araceli</c:v>
                </c:pt>
                <c:pt idx="1">
                  <c:v>Daniel</c:v>
                </c:pt>
                <c:pt idx="2">
                  <c:v>Leila</c:v>
                </c:pt>
                <c:pt idx="3">
                  <c:v>Sebastian</c:v>
                </c:pt>
              </c:strCache>
            </c:strRef>
          </c:cat>
          <c:val>
            <c:numRef>
              <c:f>'Tabla Dinamica'!$E$3:$E$7</c:f>
              <c:numCache>
                <c:formatCode>[$$-2C0A]\ #,##0.00</c:formatCode>
                <c:ptCount val="4"/>
                <c:pt idx="0">
                  <c:v>1442535</c:v>
                </c:pt>
                <c:pt idx="1">
                  <c:v>1993935</c:v>
                </c:pt>
                <c:pt idx="2">
                  <c:v>2270679</c:v>
                </c:pt>
                <c:pt idx="3">
                  <c:v>856269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4E-41D3-B83E-23AE719006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026984656"/>
        <c:axId val="2026985136"/>
      </c:barChart>
      <c:catAx>
        <c:axId val="202698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26985136"/>
        <c:crosses val="autoZero"/>
        <c:auto val="1"/>
        <c:lblAlgn val="ctr"/>
        <c:lblOffset val="100"/>
        <c:noMultiLvlLbl val="0"/>
      </c:catAx>
      <c:valAx>
        <c:axId val="202698513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2C0A]\ #,##0.00" sourceLinked="1"/>
        <c:majorTickMark val="none"/>
        <c:minorTickMark val="none"/>
        <c:tickLblPos val="nextTo"/>
        <c:crossAx val="20269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Numero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9.2875765529308832E-2"/>
              <c:y val="7.43496646252551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0.15018372703412072"/>
              <c:y val="-0.1683588509769612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.15120866141732286"/>
              <c:y val="-0.101234689413823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"/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'Tabla Dinamica'!$H$2</c:f>
              <c:strCache>
                <c:ptCount val="1"/>
                <c:pt idx="0">
                  <c:v>Total</c:v>
                </c:pt>
              </c:strCache>
            </c:strRef>
          </c:tx>
          <c:explosion val="1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ADA-4530-AEAA-4ACD010357B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ADA-4530-AEAA-4ACD010357B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ADA-4530-AEAA-4ACD010357B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ADA-4530-AEAA-4ACD010357B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8ADA-4530-AEAA-4ACD010357B1}"/>
              </c:ext>
            </c:extLst>
          </c:dPt>
          <c:dLbls>
            <c:dLbl>
              <c:idx val="0"/>
              <c:layout>
                <c:manualLayout>
                  <c:x val="-9.2875765529308832E-2"/>
                  <c:y val="7.434966462525517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DA-4530-AEAA-4ACD010357B1}"/>
                </c:ext>
              </c:extLst>
            </c:dLbl>
            <c:dLbl>
              <c:idx val="1"/>
              <c:layout>
                <c:manualLayout>
                  <c:x val="-0.15018372703412072"/>
                  <c:y val="-0.1683588509769612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DA-4530-AEAA-4ACD010357B1}"/>
                </c:ext>
              </c:extLst>
            </c:dLbl>
            <c:dLbl>
              <c:idx val="2"/>
              <c:layout>
                <c:manualLayout>
                  <c:x val="0.15120866141732286"/>
                  <c:y val="-0.10123468941382327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DA-4530-AEAA-4ACD010357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Dinamica'!$G$3:$G$7</c:f>
              <c:strCache>
                <c:ptCount val="4"/>
                <c:pt idx="0">
                  <c:v>Araceli</c:v>
                </c:pt>
                <c:pt idx="1">
                  <c:v>Daniel</c:v>
                </c:pt>
                <c:pt idx="2">
                  <c:v>Leila</c:v>
                </c:pt>
                <c:pt idx="3">
                  <c:v>Sebastian</c:v>
                </c:pt>
              </c:strCache>
            </c:strRef>
          </c:cat>
          <c:val>
            <c:numRef>
              <c:f>'Tabla Dinamica'!$H$3:$H$7</c:f>
              <c:numCache>
                <c:formatCode>General</c:formatCode>
                <c:ptCount val="4"/>
                <c:pt idx="0">
                  <c:v>103</c:v>
                </c:pt>
                <c:pt idx="1">
                  <c:v>143</c:v>
                </c:pt>
                <c:pt idx="2">
                  <c:v>164</c:v>
                </c:pt>
                <c:pt idx="3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DA-4530-AEAA-4ACD010357B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74999999999996"/>
          <c:y val="0.36175816564596086"/>
          <c:w val="0.16458333333333333"/>
          <c:h val="0.379768518518518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Numero de ventas por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 Dinamica'!$B$12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 Dinamica'!$A$13:$A$22</c:f>
              <c:strCach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strCache>
            </c:strRef>
          </c:cat>
          <c:val>
            <c:numRef>
              <c:f>'Tabla Dinamica'!$B$13:$B$22</c:f>
              <c:numCache>
                <c:formatCode>General</c:formatCode>
                <c:ptCount val="9"/>
                <c:pt idx="0">
                  <c:v>70</c:v>
                </c:pt>
                <c:pt idx="1">
                  <c:v>88</c:v>
                </c:pt>
                <c:pt idx="2">
                  <c:v>64</c:v>
                </c:pt>
                <c:pt idx="3">
                  <c:v>58</c:v>
                </c:pt>
                <c:pt idx="4">
                  <c:v>52</c:v>
                </c:pt>
                <c:pt idx="5">
                  <c:v>74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5-4F91-A1FE-E254B12A22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87484256"/>
        <c:axId val="1187484736"/>
      </c:lineChart>
      <c:catAx>
        <c:axId val="11874842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87484736"/>
        <c:crosses val="autoZero"/>
        <c:auto val="1"/>
        <c:lblAlgn val="ctr"/>
        <c:lblOffset val="100"/>
        <c:noMultiLvlLbl val="0"/>
      </c:catAx>
      <c:valAx>
        <c:axId val="118748473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8748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año</a:t>
            </a:r>
            <a:endParaRPr lang="en-US"/>
          </a:p>
        </c:rich>
      </c:tx>
      <c:layout>
        <c:manualLayout>
          <c:xMode val="edge"/>
          <c:yMode val="edge"/>
          <c:x val="0.37159021484844806"/>
          <c:y val="3.6016331291921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2.7034333603676544E-3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9.4620167612868341E-3"/>
              <c:y val="-1.38888888888889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 Dinamica'!$E$12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2.7034333603676544E-3"/>
                  <c:y val="-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48-4B11-A61F-61989CEA39E2}"/>
                </c:ext>
              </c:extLst>
            </c:dLbl>
            <c:dLbl>
              <c:idx val="5"/>
              <c:layout>
                <c:manualLayout>
                  <c:x val="9.4620167612868341E-3"/>
                  <c:y val="-1.38888888888889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48-4B11-A61F-61989CEA39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Dinamica'!$D$13:$D$22</c:f>
              <c:strCach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strCache>
            </c:strRef>
          </c:cat>
          <c:val>
            <c:numRef>
              <c:f>'Tabla Dinamica'!$E$13:$E$22</c:f>
              <c:numCache>
                <c:formatCode>[$$-2C0A]\ #,##0.00</c:formatCode>
                <c:ptCount val="9"/>
                <c:pt idx="0">
                  <c:v>640399</c:v>
                </c:pt>
                <c:pt idx="1">
                  <c:v>891407</c:v>
                </c:pt>
                <c:pt idx="2">
                  <c:v>730317</c:v>
                </c:pt>
                <c:pt idx="3">
                  <c:v>742915</c:v>
                </c:pt>
                <c:pt idx="4">
                  <c:v>754676</c:v>
                </c:pt>
                <c:pt idx="5">
                  <c:v>1377954</c:v>
                </c:pt>
                <c:pt idx="6">
                  <c:v>731440</c:v>
                </c:pt>
                <c:pt idx="7">
                  <c:v>350259</c:v>
                </c:pt>
                <c:pt idx="8">
                  <c:v>344051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1-4B22-BE98-0F48EBF50C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59644000"/>
        <c:axId val="859640640"/>
        <c:axId val="0"/>
      </c:bar3DChart>
      <c:catAx>
        <c:axId val="85964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9640640"/>
        <c:crosses val="autoZero"/>
        <c:auto val="1"/>
        <c:lblAlgn val="ctr"/>
        <c:lblOffset val="100"/>
        <c:noMultiLvlLbl val="0"/>
      </c:catAx>
      <c:valAx>
        <c:axId val="859640640"/>
        <c:scaling>
          <c:orientation val="minMax"/>
        </c:scaling>
        <c:delete val="1"/>
        <c:axPos val="l"/>
        <c:numFmt formatCode="[$$-2C0A]\ #,##0.00" sourceLinked="1"/>
        <c:majorTickMark val="none"/>
        <c:minorTickMark val="none"/>
        <c:tickLblPos val="nextTo"/>
        <c:crossAx val="85964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Dinamica!TablaDinámica9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pPr>
            <a:solidFill>
              <a:srgbClr val="156082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2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pPr>
            <a:solidFill>
              <a:srgbClr val="E97132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36920384951881E-2"/>
          <c:y val="0.15175707203266259"/>
          <c:w val="0.7047801837270341"/>
          <c:h val="0.6585309128025663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'Tabla Dinamica'!$H$12:$H$13</c:f>
              <c:strCache>
                <c:ptCount val="1"/>
                <c:pt idx="0">
                  <c:v>Automatic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15608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 Dinamica'!$G$14:$G$18</c:f>
              <c:strCache>
                <c:ptCount val="4"/>
                <c:pt idx="0">
                  <c:v>Araceli</c:v>
                </c:pt>
                <c:pt idx="1">
                  <c:v>Daniel</c:v>
                </c:pt>
                <c:pt idx="2">
                  <c:v>Leila</c:v>
                </c:pt>
                <c:pt idx="3">
                  <c:v>Sebastian</c:v>
                </c:pt>
              </c:strCache>
            </c:strRef>
          </c:cat>
          <c:val>
            <c:numRef>
              <c:f>'Tabla Dinamica'!$H$14:$H$18</c:f>
              <c:numCache>
                <c:formatCode>General</c:formatCode>
                <c:ptCount val="4"/>
                <c:pt idx="0">
                  <c:v>24</c:v>
                </c:pt>
                <c:pt idx="1">
                  <c:v>33</c:v>
                </c:pt>
                <c:pt idx="2">
                  <c:v>37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9-4168-A167-908B7561CB03}"/>
            </c:ext>
          </c:extLst>
        </c:ser>
        <c:ser>
          <c:idx val="1"/>
          <c:order val="1"/>
          <c:tx>
            <c:strRef>
              <c:f>'Tabla Dinamica'!$I$12:$I$13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E9713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 Dinamica'!$G$14:$G$18</c:f>
              <c:strCache>
                <c:ptCount val="4"/>
                <c:pt idx="0">
                  <c:v>Araceli</c:v>
                </c:pt>
                <c:pt idx="1">
                  <c:v>Daniel</c:v>
                </c:pt>
                <c:pt idx="2">
                  <c:v>Leila</c:v>
                </c:pt>
                <c:pt idx="3">
                  <c:v>Sebastian</c:v>
                </c:pt>
              </c:strCache>
            </c:strRef>
          </c:cat>
          <c:val>
            <c:numRef>
              <c:f>'Tabla Dinamica'!$I$14:$I$18</c:f>
              <c:numCache>
                <c:formatCode>General</c:formatCode>
                <c:ptCount val="4"/>
                <c:pt idx="0">
                  <c:v>79</c:v>
                </c:pt>
                <c:pt idx="1">
                  <c:v>110</c:v>
                </c:pt>
                <c:pt idx="2">
                  <c:v>127</c:v>
                </c:pt>
                <c:pt idx="3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9-4168-A167-908B7561CB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865888352"/>
        <c:axId val="1865886912"/>
        <c:axId val="0"/>
      </c:bar3DChart>
      <c:catAx>
        <c:axId val="186588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 b="1"/>
                  <a:t>Ventas por transmision y vendedor</a:t>
                </a:r>
              </a:p>
            </c:rich>
          </c:tx>
          <c:layout>
            <c:manualLayout>
              <c:xMode val="edge"/>
              <c:yMode val="edge"/>
              <c:x val="0.27061132983377079"/>
              <c:y val="3.904308836395450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65886912"/>
        <c:crosses val="autoZero"/>
        <c:auto val="1"/>
        <c:lblAlgn val="ctr"/>
        <c:lblOffset val="100"/>
        <c:noMultiLvlLbl val="0"/>
      </c:catAx>
      <c:valAx>
        <c:axId val="18658869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6588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736111111111109"/>
          <c:y val="0.75398184601924756"/>
          <c:w val="0.16875000000000001"/>
          <c:h val="0.22351742490522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Promedio de precio segun año y motor</a:t>
            </a:r>
          </a:p>
        </c:rich>
      </c:tx>
      <c:layout>
        <c:manualLayout>
          <c:xMode val="edge"/>
          <c:yMode val="edge"/>
          <c:x val="0.17952077865266838"/>
          <c:y val="9.56319376954455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6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9.7863079615048115E-2"/>
              <c:y val="7.61528392074416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0.10353630796150491"/>
              <c:y val="5.23096451734464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0.15193875765529308"/>
              <c:y val="3.1946620652267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0.18552887139107613"/>
              <c:y val="-0.112560410427286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0.14535126859142608"/>
              <c:y val="-0.2121432396517186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lumMod val="60000"/>
                  <a:shade val="51000"/>
                  <a:satMod val="130000"/>
                </a:schemeClr>
              </a:gs>
              <a:gs pos="80000">
                <a:schemeClr val="accent1">
                  <a:lumMod val="60000"/>
                  <a:shade val="93000"/>
                  <a:satMod val="130000"/>
                </a:schemeClr>
              </a:gs>
              <a:gs pos="100000">
                <a:schemeClr val="accent1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4"/>
        <c:spPr>
          <a:gradFill rotWithShape="1">
            <a:gsLst>
              <a:gs pos="0">
                <a:schemeClr val="accent2">
                  <a:lumMod val="60000"/>
                  <a:shade val="51000"/>
                  <a:satMod val="130000"/>
                </a:schemeClr>
              </a:gs>
              <a:gs pos="80000">
                <a:schemeClr val="accent2">
                  <a:lumMod val="60000"/>
                  <a:shade val="93000"/>
                  <a:satMod val="130000"/>
                </a:schemeClr>
              </a:gs>
              <a:gs pos="100000">
                <a:schemeClr val="accent2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5"/>
        <c:spPr>
          <a:gradFill rotWithShape="1">
            <a:gsLst>
              <a:gs pos="0">
                <a:schemeClr val="accent3">
                  <a:lumMod val="60000"/>
                  <a:shade val="51000"/>
                  <a:satMod val="130000"/>
                </a:schemeClr>
              </a:gs>
              <a:gs pos="80000">
                <a:schemeClr val="accent3">
                  <a:lumMod val="60000"/>
                  <a:shade val="93000"/>
                  <a:satMod val="130000"/>
                </a:schemeClr>
              </a:gs>
              <a:gs pos="100000">
                <a:schemeClr val="accent3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9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0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1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3"/>
        <c:spPr>
          <a:gradFill rotWithShape="1">
            <a:gsLst>
              <a:gs pos="0">
                <a:schemeClr val="accent1">
                  <a:lumMod val="60000"/>
                  <a:shade val="51000"/>
                  <a:satMod val="130000"/>
                </a:schemeClr>
              </a:gs>
              <a:gs pos="80000">
                <a:schemeClr val="accent1">
                  <a:lumMod val="60000"/>
                  <a:shade val="93000"/>
                  <a:satMod val="130000"/>
                </a:schemeClr>
              </a:gs>
              <a:gs pos="100000">
                <a:schemeClr val="accent1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4"/>
        <c:spPr>
          <a:gradFill rotWithShape="1">
            <a:gsLst>
              <a:gs pos="0">
                <a:schemeClr val="accent2">
                  <a:lumMod val="60000"/>
                  <a:shade val="51000"/>
                  <a:satMod val="130000"/>
                </a:schemeClr>
              </a:gs>
              <a:gs pos="80000">
                <a:schemeClr val="accent2">
                  <a:lumMod val="60000"/>
                  <a:shade val="93000"/>
                  <a:satMod val="130000"/>
                </a:schemeClr>
              </a:gs>
              <a:gs pos="100000">
                <a:schemeClr val="accent2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5"/>
        <c:spPr>
          <a:gradFill rotWithShape="1">
            <a:gsLst>
              <a:gs pos="0">
                <a:schemeClr val="accent3">
                  <a:lumMod val="60000"/>
                  <a:shade val="51000"/>
                  <a:satMod val="130000"/>
                </a:schemeClr>
              </a:gs>
              <a:gs pos="80000">
                <a:schemeClr val="accent3">
                  <a:lumMod val="60000"/>
                  <a:shade val="93000"/>
                  <a:satMod val="130000"/>
                </a:schemeClr>
              </a:gs>
              <a:gs pos="100000">
                <a:schemeClr val="accent3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9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0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1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3"/>
        <c:spPr>
          <a:gradFill rotWithShape="1">
            <a:gsLst>
              <a:gs pos="0">
                <a:schemeClr val="accent1">
                  <a:lumMod val="60000"/>
                  <a:shade val="51000"/>
                  <a:satMod val="130000"/>
                </a:schemeClr>
              </a:gs>
              <a:gs pos="80000">
                <a:schemeClr val="accent1">
                  <a:lumMod val="60000"/>
                  <a:shade val="93000"/>
                  <a:satMod val="130000"/>
                </a:schemeClr>
              </a:gs>
              <a:gs pos="100000">
                <a:schemeClr val="accent1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4"/>
        <c:spPr>
          <a:gradFill rotWithShape="1">
            <a:gsLst>
              <a:gs pos="0">
                <a:schemeClr val="accent2">
                  <a:lumMod val="60000"/>
                  <a:shade val="51000"/>
                  <a:satMod val="130000"/>
                </a:schemeClr>
              </a:gs>
              <a:gs pos="80000">
                <a:schemeClr val="accent2">
                  <a:lumMod val="60000"/>
                  <a:shade val="93000"/>
                  <a:satMod val="130000"/>
                </a:schemeClr>
              </a:gs>
              <a:gs pos="100000">
                <a:schemeClr val="accent2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5"/>
        <c:spPr>
          <a:gradFill rotWithShape="1">
            <a:gsLst>
              <a:gs pos="0">
                <a:schemeClr val="accent3">
                  <a:lumMod val="60000"/>
                  <a:shade val="51000"/>
                  <a:satMod val="130000"/>
                </a:schemeClr>
              </a:gs>
              <a:gs pos="80000">
                <a:schemeClr val="accent3">
                  <a:lumMod val="60000"/>
                  <a:shade val="93000"/>
                  <a:satMod val="130000"/>
                </a:schemeClr>
              </a:gs>
              <a:gs pos="100000">
                <a:schemeClr val="accent3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9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0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1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3"/>
        <c:spPr>
          <a:gradFill rotWithShape="1">
            <a:gsLst>
              <a:gs pos="0">
                <a:schemeClr val="accent1">
                  <a:lumMod val="60000"/>
                  <a:shade val="51000"/>
                  <a:satMod val="130000"/>
                </a:schemeClr>
              </a:gs>
              <a:gs pos="80000">
                <a:schemeClr val="accent1">
                  <a:lumMod val="60000"/>
                  <a:shade val="93000"/>
                  <a:satMod val="130000"/>
                </a:schemeClr>
              </a:gs>
              <a:gs pos="100000">
                <a:schemeClr val="accent1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4"/>
        <c:spPr>
          <a:gradFill rotWithShape="1">
            <a:gsLst>
              <a:gs pos="0">
                <a:schemeClr val="accent2">
                  <a:lumMod val="60000"/>
                  <a:shade val="51000"/>
                  <a:satMod val="130000"/>
                </a:schemeClr>
              </a:gs>
              <a:gs pos="80000">
                <a:schemeClr val="accent2">
                  <a:lumMod val="60000"/>
                  <a:shade val="93000"/>
                  <a:satMod val="130000"/>
                </a:schemeClr>
              </a:gs>
              <a:gs pos="100000">
                <a:schemeClr val="accent2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5"/>
        <c:spPr>
          <a:gradFill rotWithShape="1">
            <a:gsLst>
              <a:gs pos="0">
                <a:schemeClr val="accent3">
                  <a:lumMod val="60000"/>
                  <a:shade val="51000"/>
                  <a:satMod val="130000"/>
                </a:schemeClr>
              </a:gs>
              <a:gs pos="80000">
                <a:schemeClr val="accent3">
                  <a:lumMod val="60000"/>
                  <a:shade val="93000"/>
                  <a:satMod val="130000"/>
                </a:schemeClr>
              </a:gs>
              <a:gs pos="100000">
                <a:schemeClr val="accent3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9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0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1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3"/>
        <c:spPr>
          <a:gradFill rotWithShape="1">
            <a:gsLst>
              <a:gs pos="0">
                <a:schemeClr val="accent1">
                  <a:lumMod val="60000"/>
                  <a:shade val="51000"/>
                  <a:satMod val="130000"/>
                </a:schemeClr>
              </a:gs>
              <a:gs pos="80000">
                <a:schemeClr val="accent1">
                  <a:lumMod val="60000"/>
                  <a:shade val="93000"/>
                  <a:satMod val="130000"/>
                </a:schemeClr>
              </a:gs>
              <a:gs pos="100000">
                <a:schemeClr val="accent1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4"/>
        <c:spPr>
          <a:gradFill rotWithShape="1">
            <a:gsLst>
              <a:gs pos="0">
                <a:schemeClr val="accent2">
                  <a:lumMod val="60000"/>
                  <a:shade val="51000"/>
                  <a:satMod val="130000"/>
                </a:schemeClr>
              </a:gs>
              <a:gs pos="80000">
                <a:schemeClr val="accent2">
                  <a:lumMod val="60000"/>
                  <a:shade val="93000"/>
                  <a:satMod val="130000"/>
                </a:schemeClr>
              </a:gs>
              <a:gs pos="100000">
                <a:schemeClr val="accent2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5"/>
        <c:spPr>
          <a:gradFill rotWithShape="1">
            <a:gsLst>
              <a:gs pos="0">
                <a:schemeClr val="accent3">
                  <a:lumMod val="60000"/>
                  <a:shade val="51000"/>
                  <a:satMod val="130000"/>
                </a:schemeClr>
              </a:gs>
              <a:gs pos="80000">
                <a:schemeClr val="accent3">
                  <a:lumMod val="60000"/>
                  <a:shade val="93000"/>
                  <a:satMod val="130000"/>
                </a:schemeClr>
              </a:gs>
              <a:gs pos="100000">
                <a:schemeClr val="accent3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9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0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1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3"/>
        <c:spPr>
          <a:gradFill rotWithShape="1">
            <a:gsLst>
              <a:gs pos="0">
                <a:schemeClr val="accent1">
                  <a:lumMod val="60000"/>
                  <a:shade val="51000"/>
                  <a:satMod val="130000"/>
                </a:schemeClr>
              </a:gs>
              <a:gs pos="80000">
                <a:schemeClr val="accent1">
                  <a:lumMod val="60000"/>
                  <a:shade val="93000"/>
                  <a:satMod val="130000"/>
                </a:schemeClr>
              </a:gs>
              <a:gs pos="100000">
                <a:schemeClr val="accent1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4"/>
        <c:spPr>
          <a:gradFill rotWithShape="1">
            <a:gsLst>
              <a:gs pos="0">
                <a:schemeClr val="accent2">
                  <a:lumMod val="60000"/>
                  <a:shade val="51000"/>
                  <a:satMod val="130000"/>
                </a:schemeClr>
              </a:gs>
              <a:gs pos="80000">
                <a:schemeClr val="accent2">
                  <a:lumMod val="60000"/>
                  <a:shade val="93000"/>
                  <a:satMod val="130000"/>
                </a:schemeClr>
              </a:gs>
              <a:gs pos="100000">
                <a:schemeClr val="accent2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5"/>
        <c:spPr>
          <a:gradFill rotWithShape="1">
            <a:gsLst>
              <a:gs pos="0">
                <a:schemeClr val="accent3">
                  <a:lumMod val="60000"/>
                  <a:shade val="51000"/>
                  <a:satMod val="130000"/>
                </a:schemeClr>
              </a:gs>
              <a:gs pos="80000">
                <a:schemeClr val="accent3">
                  <a:lumMod val="60000"/>
                  <a:shade val="93000"/>
                  <a:satMod val="130000"/>
                </a:schemeClr>
              </a:gs>
              <a:gs pos="100000">
                <a:schemeClr val="accent3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25961178656194422"/>
          <c:w val="1"/>
          <c:h val="0.66994519261918462"/>
        </c:manualLayout>
      </c:layout>
      <c:pie3DChart>
        <c:varyColors val="1"/>
        <c:ser>
          <c:idx val="0"/>
          <c:order val="0"/>
          <c:tx>
            <c:strRef>
              <c:f>'Tabla Dinamica'!$B$26:$B$27</c:f>
              <c:strCache>
                <c:ptCount val="1"/>
                <c:pt idx="0">
                  <c:v>1.0L</c:v>
                </c:pt>
              </c:strCache>
            </c:strRef>
          </c:tx>
          <c:explosion val="28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E974-4A6D-8CD9-7F4033C1924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E974-4A6D-8CD9-7F4033C1924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E974-4A6D-8CD9-7F4033C1924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E974-4A6D-8CD9-7F4033C1924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E974-4A6D-8CD9-7F4033C1924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E974-4A6D-8CD9-7F4033C1924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E974-4A6D-8CD9-7F4033C1924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E974-4A6D-8CD9-7F4033C1924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E974-4A6D-8CD9-7F4033C19249}"/>
              </c:ext>
            </c:extLst>
          </c:dPt>
          <c:dLbls>
            <c:dLbl>
              <c:idx val="1"/>
              <c:layout>
                <c:manualLayout>
                  <c:x val="-9.7863079615048115E-2"/>
                  <c:y val="7.6152839207441606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74-4A6D-8CD9-7F4033C19249}"/>
                </c:ext>
              </c:extLst>
            </c:dLbl>
            <c:dLbl>
              <c:idx val="2"/>
              <c:layout>
                <c:manualLayout>
                  <c:x val="-0.10353630796150491"/>
                  <c:y val="5.230964517344648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974-4A6D-8CD9-7F4033C19249}"/>
                </c:ext>
              </c:extLst>
            </c:dLbl>
            <c:dLbl>
              <c:idx val="3"/>
              <c:layout>
                <c:manualLayout>
                  <c:x val="-0.15193875765529308"/>
                  <c:y val="3.194662065226733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74-4A6D-8CD9-7F4033C19249}"/>
                </c:ext>
              </c:extLst>
            </c:dLbl>
            <c:dLbl>
              <c:idx val="4"/>
              <c:layout>
                <c:manualLayout>
                  <c:x val="-0.18552887139107613"/>
                  <c:y val="-0.1125604104272860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974-4A6D-8CD9-7F4033C19249}"/>
                </c:ext>
              </c:extLst>
            </c:dLbl>
            <c:dLbl>
              <c:idx val="5"/>
              <c:layout>
                <c:manualLayout>
                  <c:x val="-0.14535126859142608"/>
                  <c:y val="-0.2121432396517186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74-4A6D-8CD9-7F4033C192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Dinamica'!$A$28:$A$37</c:f>
              <c:strCach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strCache>
            </c:strRef>
          </c:cat>
          <c:val>
            <c:numRef>
              <c:f>'Tabla Dinamica'!$B$28:$B$37</c:f>
              <c:numCache>
                <c:formatCode>[$$-2C0A]\ #,##0.00</c:formatCode>
                <c:ptCount val="9"/>
                <c:pt idx="1">
                  <c:v>9893.7777777777774</c:v>
                </c:pt>
                <c:pt idx="2">
                  <c:v>10570.476190476191</c:v>
                </c:pt>
                <c:pt idx="3">
                  <c:v>11487</c:v>
                </c:pt>
                <c:pt idx="4">
                  <c:v>14659.2</c:v>
                </c:pt>
                <c:pt idx="5">
                  <c:v>18136.553571428572</c:v>
                </c:pt>
                <c:pt idx="6">
                  <c:v>19223.21212121212</c:v>
                </c:pt>
                <c:pt idx="7">
                  <c:v>22489.583333333332</c:v>
                </c:pt>
                <c:pt idx="8">
                  <c:v>25694.666666666668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74-4A6D-8CD9-7F4033C19249}"/>
            </c:ext>
          </c:extLst>
        </c:ser>
        <c:ser>
          <c:idx val="1"/>
          <c:order val="1"/>
          <c:tx>
            <c:strRef>
              <c:f>'Tabla Dinamica'!$C$26:$C$27</c:f>
              <c:strCache>
                <c:ptCount val="1"/>
                <c:pt idx="0">
                  <c:v>1.2L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4-E974-4A6D-8CD9-7F4033C1924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6-E974-4A6D-8CD9-7F4033C1924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8-E974-4A6D-8CD9-7F4033C1924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A-E974-4A6D-8CD9-7F4033C1924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C-E974-4A6D-8CD9-7F4033C1924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E-E974-4A6D-8CD9-7F4033C1924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0-E974-4A6D-8CD9-7F4033C1924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2-E974-4A6D-8CD9-7F4033C1924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4-E974-4A6D-8CD9-7F4033C192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Dinamica'!$A$28:$A$37</c:f>
              <c:strCach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strCache>
            </c:strRef>
          </c:cat>
          <c:val>
            <c:numRef>
              <c:f>'Tabla Dinamica'!$C$28:$C$37</c:f>
              <c:numCache>
                <c:formatCode>[$$-2C0A]\ #,##0.00</c:formatCode>
                <c:ptCount val="9"/>
                <c:pt idx="0">
                  <c:v>8196</c:v>
                </c:pt>
                <c:pt idx="1">
                  <c:v>9490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974-4A6D-8CD9-7F4033C19249}"/>
            </c:ext>
          </c:extLst>
        </c:ser>
        <c:ser>
          <c:idx val="2"/>
          <c:order val="2"/>
          <c:tx>
            <c:strRef>
              <c:f>'Tabla Dinamica'!$D$26:$D$27</c:f>
              <c:strCache>
                <c:ptCount val="1"/>
                <c:pt idx="0">
                  <c:v>1.4L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7-E974-4A6D-8CD9-7F4033C1924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9-E974-4A6D-8CD9-7F4033C1924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B-E974-4A6D-8CD9-7F4033C1924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D-E974-4A6D-8CD9-7F4033C1924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F-E974-4A6D-8CD9-7F4033C1924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31-E974-4A6D-8CD9-7F4033C1924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33-E974-4A6D-8CD9-7F4033C1924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35-E974-4A6D-8CD9-7F4033C1924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37-E974-4A6D-8CD9-7F4033C192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Dinamica'!$A$28:$A$37</c:f>
              <c:strCach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strCache>
            </c:strRef>
          </c:cat>
          <c:val>
            <c:numRef>
              <c:f>'Tabla Dinamica'!$D$28:$D$37</c:f>
              <c:numCache>
                <c:formatCode>[$$-2C0A]\ #,##0.00</c:formatCode>
                <c:ptCount val="9"/>
                <c:pt idx="0">
                  <c:v>10342.542857142857</c:v>
                </c:pt>
                <c:pt idx="1">
                  <c:v>10935.39534883721</c:v>
                </c:pt>
                <c:pt idx="2">
                  <c:v>12155.451612903225</c:v>
                </c:pt>
                <c:pt idx="3">
                  <c:v>13117.757575757576</c:v>
                </c:pt>
                <c:pt idx="4">
                  <c:v>14568.40625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E974-4A6D-8CD9-7F4033C19249}"/>
            </c:ext>
          </c:extLst>
        </c:ser>
        <c:ser>
          <c:idx val="3"/>
          <c:order val="3"/>
          <c:tx>
            <c:strRef>
              <c:f>'Tabla Dinamica'!$E$26:$E$27</c:f>
              <c:strCache>
                <c:ptCount val="1"/>
                <c:pt idx="0">
                  <c:v>1.5L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3A-E974-4A6D-8CD9-7F4033C1924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3C-E974-4A6D-8CD9-7F4033C1924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3E-E974-4A6D-8CD9-7F4033C1924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40-E974-4A6D-8CD9-7F4033C1924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42-E974-4A6D-8CD9-7F4033C1924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44-E974-4A6D-8CD9-7F4033C1924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46-E974-4A6D-8CD9-7F4033C1924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48-E974-4A6D-8CD9-7F4033C1924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4A-E974-4A6D-8CD9-7F4033C192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Dinamica'!$A$28:$A$37</c:f>
              <c:strCach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strCache>
            </c:strRef>
          </c:cat>
          <c:val>
            <c:numRef>
              <c:f>'Tabla Dinamica'!$E$28:$E$37</c:f>
              <c:numCache>
                <c:formatCode>[$$-2C0A]\ #,##0.00</c:formatCode>
                <c:ptCount val="9"/>
                <c:pt idx="5">
                  <c:v>20076.941176470587</c:v>
                </c:pt>
                <c:pt idx="6">
                  <c:v>24094.666666666668</c:v>
                </c:pt>
                <c:pt idx="7">
                  <c:v>26794.666666666668</c:v>
                </c:pt>
                <c:pt idx="8">
                  <c:v>28199.75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E974-4A6D-8CD9-7F4033C19249}"/>
            </c:ext>
          </c:extLst>
        </c:ser>
        <c:ser>
          <c:idx val="4"/>
          <c:order val="4"/>
          <c:tx>
            <c:strRef>
              <c:f>'Tabla Dinamica'!$F$26:$F$27</c:f>
              <c:strCache>
                <c:ptCount val="1"/>
                <c:pt idx="0">
                  <c:v>1.6L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4D-E974-4A6D-8CD9-7F4033C1924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4F-E974-4A6D-8CD9-7F4033C1924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51-E974-4A6D-8CD9-7F4033C1924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53-E974-4A6D-8CD9-7F4033C1924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55-E974-4A6D-8CD9-7F4033C1924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57-E974-4A6D-8CD9-7F4033C1924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59-E974-4A6D-8CD9-7F4033C1924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5B-E974-4A6D-8CD9-7F4033C1924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5D-E974-4A6D-8CD9-7F4033C192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Dinamica'!$A$28:$A$37</c:f>
              <c:strCach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strCache>
            </c:strRef>
          </c:cat>
          <c:val>
            <c:numRef>
              <c:f>'Tabla Dinamica'!$F$28:$F$37</c:f>
              <c:numCache>
                <c:formatCode>[$$-2C0A]\ #,##0.00</c:formatCode>
                <c:ptCount val="9"/>
                <c:pt idx="0">
                  <c:v>7826.8518518518522</c:v>
                </c:pt>
                <c:pt idx="1">
                  <c:v>8996.2800000000007</c:v>
                </c:pt>
                <c:pt idx="2">
                  <c:v>10959.833333333334</c:v>
                </c:pt>
                <c:pt idx="3">
                  <c:v>12831.35294117647</c:v>
                </c:pt>
                <c:pt idx="4">
                  <c:v>13719.8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974-4A6D-8CD9-7F4033C19249}"/>
            </c:ext>
          </c:extLst>
        </c:ser>
        <c:ser>
          <c:idx val="5"/>
          <c:order val="5"/>
          <c:tx>
            <c:strRef>
              <c:f>'Tabla Dinamica'!$G$26:$G$27</c:f>
              <c:strCache>
                <c:ptCount val="1"/>
                <c:pt idx="0">
                  <c:v>2.0L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Dinamica'!$A$28:$A$37</c:f>
              <c:strCach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strCache>
            </c:strRef>
          </c:cat>
          <c:val>
            <c:numRef>
              <c:f>'Tabla Dinamica'!$G$28:$G$37</c:f>
              <c:numCache>
                <c:formatCode>[$$-2C0A]\ #,##0.00</c:formatCode>
                <c:ptCount val="9"/>
                <c:pt idx="0">
                  <c:v>8701.6666666666661</c:v>
                </c:pt>
                <c:pt idx="1">
                  <c:v>8700</c:v>
                </c:pt>
                <c:pt idx="5">
                  <c:v>20999</c:v>
                </c:pt>
                <c:pt idx="6">
                  <c:v>24790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5FAB-47AF-9B7C-8579584D5D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Ventas</a:t>
            </a:r>
            <a:r>
              <a:rPr lang="es-ES" baseline="0"/>
              <a:t> por motor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1.0085728693898134E-2"/>
              <c:y val="-0.1184640522875817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1.0085728693898134E-2"/>
              <c:y val="-7.35294117647058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4.6225722510208749E-17"/>
              <c:y val="-0.245098039215686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7.5642965204236008E-3"/>
              <c:y val="-0.298202614379084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"/>
              <c:y val="-8.169934640522875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5.0428643469490669E-3"/>
              <c:y val="-4.90196078431372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'Tabla Dinamica'!$B$40</c:f>
              <c:strCache>
                <c:ptCount val="1"/>
                <c:pt idx="0">
                  <c:v>Cuenta de Vendedor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Dinamica'!$A$41:$A$47</c:f>
              <c:strCache>
                <c:ptCount val="6"/>
                <c:pt idx="0">
                  <c:v>1.0L</c:v>
                </c:pt>
                <c:pt idx="1">
                  <c:v>1.2L</c:v>
                </c:pt>
                <c:pt idx="2">
                  <c:v>1.4L</c:v>
                </c:pt>
                <c:pt idx="3">
                  <c:v>1.5L</c:v>
                </c:pt>
                <c:pt idx="4">
                  <c:v>1.6L</c:v>
                </c:pt>
                <c:pt idx="5">
                  <c:v>2.0L</c:v>
                </c:pt>
              </c:strCache>
            </c:strRef>
          </c:cat>
          <c:val>
            <c:numRef>
              <c:f>'Tabla Dinamica'!$B$41:$B$47</c:f>
              <c:numCache>
                <c:formatCode>General</c:formatCode>
                <c:ptCount val="6"/>
                <c:pt idx="0">
                  <c:v>172</c:v>
                </c:pt>
                <c:pt idx="1">
                  <c:v>6</c:v>
                </c:pt>
                <c:pt idx="2">
                  <c:v>174</c:v>
                </c:pt>
                <c:pt idx="3">
                  <c:v>27</c:v>
                </c:pt>
                <c:pt idx="4">
                  <c:v>86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2-43AE-82B1-6DC7316E25DB}"/>
            </c:ext>
          </c:extLst>
        </c:ser>
        <c:ser>
          <c:idx val="1"/>
          <c:order val="1"/>
          <c:tx>
            <c:strRef>
              <c:f>'Tabla Dinamica'!$C$40</c:f>
              <c:strCache>
                <c:ptCount val="1"/>
                <c:pt idx="0">
                  <c:v>Suma de Precio (Moneda)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7.5642965204236008E-3"/>
                  <c:y val="-0.2982026143790849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81-419F-B13F-4317AB5DD0C9}"/>
                </c:ext>
              </c:extLst>
            </c:dLbl>
            <c:dLbl>
              <c:idx val="1"/>
              <c:layout>
                <c:manualLayout>
                  <c:x val="5.0428643469490669E-3"/>
                  <c:y val="-4.90196078431372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281-419F-B13F-4317AB5DD0C9}"/>
                </c:ext>
              </c:extLst>
            </c:dLbl>
            <c:dLbl>
              <c:idx val="2"/>
              <c:layout>
                <c:manualLayout>
                  <c:x val="-4.6225722510208749E-17"/>
                  <c:y val="-0.2450980392156862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81-419F-B13F-4317AB5DD0C9}"/>
                </c:ext>
              </c:extLst>
            </c:dLbl>
            <c:dLbl>
              <c:idx val="3"/>
              <c:layout>
                <c:manualLayout>
                  <c:x val="0"/>
                  <c:y val="-8.16993464052287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81-419F-B13F-4317AB5DD0C9}"/>
                </c:ext>
              </c:extLst>
            </c:dLbl>
            <c:dLbl>
              <c:idx val="4"/>
              <c:layout>
                <c:manualLayout>
                  <c:x val="1.0085728693898134E-2"/>
                  <c:y val="-0.118464052287581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81-419F-B13F-4317AB5DD0C9}"/>
                </c:ext>
              </c:extLst>
            </c:dLbl>
            <c:dLbl>
              <c:idx val="5"/>
              <c:layout>
                <c:manualLayout>
                  <c:x val="1.0085728693898134E-2"/>
                  <c:y val="-7.35294117647058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81-419F-B13F-4317AB5DD0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Dinamica'!$A$41:$A$47</c:f>
              <c:strCache>
                <c:ptCount val="6"/>
                <c:pt idx="0">
                  <c:v>1.0L</c:v>
                </c:pt>
                <c:pt idx="1">
                  <c:v>1.2L</c:v>
                </c:pt>
                <c:pt idx="2">
                  <c:v>1.4L</c:v>
                </c:pt>
                <c:pt idx="3">
                  <c:v>1.5L</c:v>
                </c:pt>
                <c:pt idx="4">
                  <c:v>1.6L</c:v>
                </c:pt>
                <c:pt idx="5">
                  <c:v>2.0L</c:v>
                </c:pt>
              </c:strCache>
            </c:strRef>
          </c:cat>
          <c:val>
            <c:numRef>
              <c:f>'Tabla Dinamica'!$C$41:$C$47</c:f>
              <c:numCache>
                <c:formatCode>[$$-2C0A]\ #,##0.00</c:formatCode>
                <c:ptCount val="6"/>
                <c:pt idx="0">
                  <c:v>2862992</c:v>
                </c:pt>
                <c:pt idx="1">
                  <c:v>50470</c:v>
                </c:pt>
                <c:pt idx="2">
                  <c:v>2108105</c:v>
                </c:pt>
                <c:pt idx="3">
                  <c:v>606775</c:v>
                </c:pt>
                <c:pt idx="4">
                  <c:v>854482</c:v>
                </c:pt>
                <c:pt idx="5">
                  <c:v>80594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F2-43AE-82B1-6DC7316E25D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30895760"/>
        <c:axId val="2061848688"/>
        <c:axId val="0"/>
      </c:bar3DChart>
      <c:catAx>
        <c:axId val="20308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61848688"/>
        <c:crosses val="autoZero"/>
        <c:auto val="1"/>
        <c:lblAlgn val="ctr"/>
        <c:lblOffset val="100"/>
        <c:noMultiLvlLbl val="0"/>
      </c:catAx>
      <c:valAx>
        <c:axId val="2061848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308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19391951006124"/>
          <c:y val="0.75398184601924756"/>
          <c:w val="0.31139413823272089"/>
          <c:h val="0.22351742490522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Dinamica!TablaDinámica11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Comparativo combustible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1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4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7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40217373869932926"/>
          <c:w val="0.75138888888888888"/>
          <c:h val="0.59421733741615634"/>
        </c:manualLayout>
      </c:layout>
      <c:pie3DChart>
        <c:varyColors val="1"/>
        <c:ser>
          <c:idx val="0"/>
          <c:order val="0"/>
          <c:tx>
            <c:strRef>
              <c:f>'Tabla Dinamica'!$G$41:$G$42</c:f>
              <c:strCache>
                <c:ptCount val="1"/>
                <c:pt idx="0">
                  <c:v>Araceli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661F-45CD-B930-4966E3A401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661F-45CD-B930-4966E3A401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Dinamica'!$F$43:$F$45</c:f>
              <c:strCache>
                <c:ptCount val="2"/>
                <c:pt idx="0">
                  <c:v>Diesel</c:v>
                </c:pt>
                <c:pt idx="1">
                  <c:v>Petrol</c:v>
                </c:pt>
              </c:strCache>
            </c:strRef>
          </c:cat>
          <c:val>
            <c:numRef>
              <c:f>'Tabla Dinamica'!$G$43:$G$45</c:f>
              <c:numCache>
                <c:formatCode>General</c:formatCode>
                <c:ptCount val="2"/>
                <c:pt idx="0">
                  <c:v>22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1F-45CD-B930-4966E3A40117}"/>
            </c:ext>
          </c:extLst>
        </c:ser>
        <c:ser>
          <c:idx val="1"/>
          <c:order val="1"/>
          <c:tx>
            <c:strRef>
              <c:f>'Tabla Dinamica'!$H$41:$H$42</c:f>
              <c:strCache>
                <c:ptCount val="1"/>
                <c:pt idx="0">
                  <c:v>Daniel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Dinamica'!$F$43:$F$45</c:f>
              <c:strCache>
                <c:ptCount val="2"/>
                <c:pt idx="0">
                  <c:v>Diesel</c:v>
                </c:pt>
                <c:pt idx="1">
                  <c:v>Petrol</c:v>
                </c:pt>
              </c:strCache>
            </c:strRef>
          </c:cat>
          <c:val>
            <c:numRef>
              <c:f>'Tabla Dinamica'!$H$43:$H$45</c:f>
              <c:numCache>
                <c:formatCode>General</c:formatCode>
                <c:ptCount val="2"/>
                <c:pt idx="0">
                  <c:v>36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5E-4276-BDFB-2E54C6B981CA}"/>
            </c:ext>
          </c:extLst>
        </c:ser>
        <c:ser>
          <c:idx val="2"/>
          <c:order val="2"/>
          <c:tx>
            <c:strRef>
              <c:f>'Tabla Dinamica'!$I$41:$I$42</c:f>
              <c:strCache>
                <c:ptCount val="1"/>
                <c:pt idx="0">
                  <c:v>Leila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Dinamica'!$F$43:$F$45</c:f>
              <c:strCache>
                <c:ptCount val="2"/>
                <c:pt idx="0">
                  <c:v>Diesel</c:v>
                </c:pt>
                <c:pt idx="1">
                  <c:v>Petrol</c:v>
                </c:pt>
              </c:strCache>
            </c:strRef>
          </c:cat>
          <c:val>
            <c:numRef>
              <c:f>'Tabla Dinamica'!$I$43:$I$45</c:f>
              <c:numCache>
                <c:formatCode>General</c:formatCode>
                <c:ptCount val="2"/>
                <c:pt idx="0">
                  <c:v>23</c:v>
                </c:pt>
                <c:pt idx="1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55E-4276-BDFB-2E54C6B981CA}"/>
            </c:ext>
          </c:extLst>
        </c:ser>
        <c:ser>
          <c:idx val="3"/>
          <c:order val="3"/>
          <c:tx>
            <c:strRef>
              <c:f>'Tabla Dinamica'!$J$41:$J$42</c:f>
              <c:strCache>
                <c:ptCount val="1"/>
                <c:pt idx="0">
                  <c:v>Sebastian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Dinamica'!$F$43:$F$45</c:f>
              <c:strCache>
                <c:ptCount val="2"/>
                <c:pt idx="0">
                  <c:v>Diesel</c:v>
                </c:pt>
                <c:pt idx="1">
                  <c:v>Petrol</c:v>
                </c:pt>
              </c:strCache>
            </c:strRef>
          </c:cat>
          <c:val>
            <c:numRef>
              <c:f>'Tabla Dinamica'!$J$43:$J$45</c:f>
              <c:numCache>
                <c:formatCode>General</c:formatCode>
                <c:ptCount val="2"/>
                <c:pt idx="0">
                  <c:v>9</c:v>
                </c:pt>
                <c:pt idx="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55E-4276-BDFB-2E54C6B981C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[ProyectoFinal_IgnesAraceli.xlsm]Tabla Dinamica!TablaDinámica12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promedio por numero de propietario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'Tabla Dinamica'!$B$51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Dinamica'!$A$52:$A$59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'Tabla Dinamica'!$B$52:$B$59</c:f>
              <c:numCache>
                <c:formatCode>[$$-2C0A]\ #,##0.00</c:formatCode>
                <c:ptCount val="7"/>
                <c:pt idx="0">
                  <c:v>16521.514705882353</c:v>
                </c:pt>
                <c:pt idx="1">
                  <c:v>12389.210256410257</c:v>
                </c:pt>
                <c:pt idx="2">
                  <c:v>11112.979166666666</c:v>
                </c:pt>
                <c:pt idx="3">
                  <c:v>9861.0499999999993</c:v>
                </c:pt>
                <c:pt idx="4">
                  <c:v>13747</c:v>
                </c:pt>
                <c:pt idx="5">
                  <c:v>11000</c:v>
                </c:pt>
                <c:pt idx="6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5-4CE5-9770-2CFBA8B3675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026155056"/>
        <c:axId val="2026154096"/>
      </c:areaChart>
      <c:catAx>
        <c:axId val="202615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26154096"/>
        <c:crosses val="autoZero"/>
        <c:auto val="1"/>
        <c:lblAlgn val="ctr"/>
        <c:lblOffset val="100"/>
        <c:noMultiLvlLbl val="0"/>
      </c:catAx>
      <c:valAx>
        <c:axId val="20261540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2C0A]\ #,##0.00" sourceLinked="1"/>
        <c:majorTickMark val="none"/>
        <c:minorTickMark val="none"/>
        <c:tickLblPos val="nextTo"/>
        <c:crossAx val="202615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3</xdr:row>
      <xdr:rowOff>1905</xdr:rowOff>
    </xdr:from>
    <xdr:to>
      <xdr:col>12</xdr:col>
      <xdr:colOff>38100</xdr:colOff>
      <xdr:row>18</xdr:row>
      <xdr:rowOff>83820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5EE733E2-D044-46BB-99A2-8DD31FBDE5EF}"/>
            </a:ext>
          </a:extLst>
        </xdr:cNvPr>
        <xdr:cNvSpPr txBox="1"/>
      </xdr:nvSpPr>
      <xdr:spPr>
        <a:xfrm>
          <a:off x="1626870" y="809625"/>
          <a:ext cx="7829550" cy="2825115"/>
        </a:xfrm>
        <a:prstGeom prst="rect">
          <a:avLst/>
        </a:prstGeom>
        <a:gradFill flip="none" rotWithShape="1">
          <a:gsLst>
            <a:gs pos="0">
              <a:schemeClr val="accent2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2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2">
                <a:lumMod val="20000"/>
                <a:lumOff val="80000"/>
                <a:shade val="100000"/>
                <a:satMod val="115000"/>
              </a:schemeClr>
            </a:gs>
          </a:gsLst>
          <a:lin ang="2700000" scaled="1"/>
          <a:tileRect/>
        </a:gradFill>
        <a:ln w="2857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 ella se incluyen: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	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•	Rango de años disponibles, identificando los modelos más frecuentes.	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•	Precios promedio, con valores mínimos, máximos y estimación de referencia.	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•	Kilometraje habitual, diferenciando las unidades más demandadas.	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•	Tipos de motorización y transmisión, con las opciones más comunes.	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•	Tipo de combustible predominante según el mercado.	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•	Cantidad de propietarios anteriores, como indicador del historial del vehículo.	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•	Perfil típico del comprador, orientado al segmento urbano premium.	</a:t>
          </a: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•	Conclusión estratégica, destacando los modelos con mejor relación precio/calidad.</a:t>
          </a:r>
        </a:p>
        <a:p>
          <a:pPr algn="l"/>
          <a:endParaRPr lang="es-ES" sz="1200" b="0">
            <a:solidFill>
              <a:schemeClr val="accent2">
                <a:lumMod val="7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s-ES" sz="1200" b="0">
            <a:solidFill>
              <a:schemeClr val="accent2">
                <a:lumMod val="7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r>
            <a:rPr lang="es-ES" sz="1200" b="0">
              <a:solidFill>
                <a:schemeClr val="accent2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Este brief resume los datos clave para entender la oferta y demanda del Audi A1 usado, facilitando la toma de decisiones en compra, venta o análisis de mercado.</a:t>
          </a:r>
          <a:endParaRPr lang="es-ES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68580</xdr:colOff>
          <xdr:row>0</xdr:row>
          <xdr:rowOff>30480</xdr:rowOff>
        </xdr:from>
        <xdr:to>
          <xdr:col>17</xdr:col>
          <xdr:colOff>426720</xdr:colOff>
          <xdr:row>2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38100</xdr:rowOff>
    </xdr:from>
    <xdr:to>
      <xdr:col>5</xdr:col>
      <xdr:colOff>609600</xdr:colOff>
      <xdr:row>20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469F6E-FFF9-4A4E-8BB5-57E96F5EE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632460</xdr:colOff>
      <xdr:row>5</xdr:row>
      <xdr:rowOff>53340</xdr:rowOff>
    </xdr:from>
    <xdr:to>
      <xdr:col>11</xdr:col>
      <xdr:colOff>480060</xdr:colOff>
      <xdr:row>20</xdr:row>
      <xdr:rowOff>53340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2A958C-0DC9-4CF8-8B3E-ADF7F9C39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495300</xdr:colOff>
      <xdr:row>5</xdr:row>
      <xdr:rowOff>53340</xdr:rowOff>
    </xdr:from>
    <xdr:to>
      <xdr:col>18</xdr:col>
      <xdr:colOff>76200</xdr:colOff>
      <xdr:row>20</xdr:row>
      <xdr:rowOff>53340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4E6227-10D9-454A-9A72-83DB560FE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20</xdr:row>
      <xdr:rowOff>45720</xdr:rowOff>
    </xdr:from>
    <xdr:to>
      <xdr:col>6</xdr:col>
      <xdr:colOff>45720</xdr:colOff>
      <xdr:row>35</xdr:row>
      <xdr:rowOff>45720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67A2611-AF0D-494B-B503-5DF2E3165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38100</xdr:colOff>
      <xdr:row>20</xdr:row>
      <xdr:rowOff>60960</xdr:rowOff>
    </xdr:from>
    <xdr:to>
      <xdr:col>18</xdr:col>
      <xdr:colOff>129540</xdr:colOff>
      <xdr:row>35</xdr:row>
      <xdr:rowOff>60960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57EAA0D-518B-40CC-B6FF-9F8CBCAEC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35</xdr:row>
      <xdr:rowOff>53340</xdr:rowOff>
    </xdr:from>
    <xdr:to>
      <xdr:col>5</xdr:col>
      <xdr:colOff>640080</xdr:colOff>
      <xdr:row>51</xdr:row>
      <xdr:rowOff>160020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6A27353-4F11-4A7A-9BF1-53BB98AA2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640080</xdr:colOff>
      <xdr:row>35</xdr:row>
      <xdr:rowOff>53340</xdr:rowOff>
    </xdr:from>
    <xdr:to>
      <xdr:col>11</xdr:col>
      <xdr:colOff>457200</xdr:colOff>
      <xdr:row>51</xdr:row>
      <xdr:rowOff>152400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27ECAFA-2C5A-43F7-9A72-23FEF39C4B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457200</xdr:colOff>
      <xdr:row>35</xdr:row>
      <xdr:rowOff>53340</xdr:rowOff>
    </xdr:from>
    <xdr:to>
      <xdr:col>17</xdr:col>
      <xdr:colOff>739140</xdr:colOff>
      <xdr:row>52</xdr:row>
      <xdr:rowOff>53340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4592CB5-502E-49AD-8BD5-866486F07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51</xdr:row>
      <xdr:rowOff>175260</xdr:rowOff>
    </xdr:from>
    <xdr:to>
      <xdr:col>5</xdr:col>
      <xdr:colOff>609600</xdr:colOff>
      <xdr:row>66</xdr:row>
      <xdr:rowOff>175260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4EEDAA5-6E9B-4717-8F06-262D66380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617220</xdr:colOff>
      <xdr:row>51</xdr:row>
      <xdr:rowOff>152400</xdr:rowOff>
    </xdr:from>
    <xdr:to>
      <xdr:col>15</xdr:col>
      <xdr:colOff>563880</xdr:colOff>
      <xdr:row>67</xdr:row>
      <xdr:rowOff>15240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63FED7C-493F-4919-91F1-68F20DDE3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0</xdr:colOff>
      <xdr:row>0</xdr:row>
      <xdr:rowOff>7621</xdr:rowOff>
    </xdr:from>
    <xdr:to>
      <xdr:col>3</xdr:col>
      <xdr:colOff>411480</xdr:colOff>
      <xdr:row>4</xdr:row>
      <xdr:rowOff>175260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ño">
              <a:extLst>
                <a:ext uri="{FF2B5EF4-FFF2-40B4-BE49-F238E27FC236}">
                  <a16:creationId xmlns:a16="http://schemas.microsoft.com/office/drawing/2014/main" id="{1ED88ADB-8409-7ACE-E064-67705F5A4A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621"/>
              <a:ext cx="2788920" cy="8991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419100</xdr:colOff>
      <xdr:row>0</xdr:row>
      <xdr:rowOff>7621</xdr:rowOff>
    </xdr:from>
    <xdr:to>
      <xdr:col>5</xdr:col>
      <xdr:colOff>662940</xdr:colOff>
      <xdr:row>4</xdr:row>
      <xdr:rowOff>152401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Motor">
              <a:extLst>
                <a:ext uri="{FF2B5EF4-FFF2-40B4-BE49-F238E27FC236}">
                  <a16:creationId xmlns:a16="http://schemas.microsoft.com/office/drawing/2014/main" id="{266D59B5-804F-773A-0497-217D661F47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t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" y="7621"/>
              <a:ext cx="1828800" cy="876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662940</xdr:colOff>
      <xdr:row>0</xdr:row>
      <xdr:rowOff>0</xdr:rowOff>
    </xdr:from>
    <xdr:to>
      <xdr:col>9</xdr:col>
      <xdr:colOff>784860</xdr:colOff>
      <xdr:row>5</xdr:row>
      <xdr:rowOff>15239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Vendedor">
              <a:extLst>
                <a:ext uri="{FF2B5EF4-FFF2-40B4-BE49-F238E27FC236}">
                  <a16:creationId xmlns:a16="http://schemas.microsoft.com/office/drawing/2014/main" id="{FE57C8F7-0342-5E37-3FEA-9D5804ED74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25340" y="0"/>
              <a:ext cx="3291840" cy="9296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g" refreshedDate="45895.835844675923" createdVersion="8" refreshedVersion="8" minRefreshableVersion="3" recordCount="474" xr:uid="{E8CD7C31-0C44-41F1-9B93-A675535A6736}">
  <cacheSource type="worksheet">
    <worksheetSource ref="A1:I1048576" sheet="Base Normalizada"/>
  </cacheSource>
  <cacheFields count="9">
    <cacheField name="Año" numFmtId="0">
      <sharedItems containsString="0" containsBlank="1" containsNumber="1" containsInteger="1" minValue="2014" maxValue="2022" count="10">
        <n v="2022"/>
        <n v="2021"/>
        <n v="2020"/>
        <n v="2019"/>
        <n v="2018"/>
        <n v="2017"/>
        <n v="2016"/>
        <n v="2014"/>
        <n v="2015"/>
        <m/>
      </sharedItems>
    </cacheField>
    <cacheField name="Tipo" numFmtId="0">
      <sharedItems containsBlank="1"/>
    </cacheField>
    <cacheField name="Kilometraje" numFmtId="0">
      <sharedItems containsString="0" containsBlank="1" containsNumber="1" containsInteger="1" minValue="9" maxValue="149000" count="417">
        <n v="1500"/>
        <n v="3000"/>
        <n v="9"/>
        <n v="14500"/>
        <n v="4293"/>
        <n v="5008"/>
        <n v="2971"/>
        <n v="3529"/>
        <n v="9044"/>
        <n v="2000"/>
        <n v="11775"/>
        <n v="5246"/>
        <n v="364"/>
        <n v="8555"/>
        <n v="2067"/>
        <n v="9700"/>
        <n v="10000"/>
        <n v="5550"/>
        <n v="14490"/>
        <n v="10761"/>
        <n v="18250"/>
        <n v="21555"/>
        <n v="22500"/>
        <n v="12066"/>
        <n v="27811"/>
        <n v="14201"/>
        <n v="13320"/>
        <n v="34000"/>
        <n v="16997"/>
        <n v="10306"/>
        <n v="12433"/>
        <n v="23645"/>
        <n v="15769"/>
        <n v="23232"/>
        <n v="24850"/>
        <n v="10250"/>
        <n v="22451"/>
        <n v="22214"/>
        <n v="20322"/>
        <n v="15187"/>
        <n v="22199"/>
        <n v="17634"/>
        <n v="30000"/>
        <n v="11411"/>
        <n v="16019"/>
        <n v="20671"/>
        <n v="19495"/>
        <n v="780"/>
        <n v="2688"/>
        <n v="76923"/>
        <n v="16555"/>
        <n v="15817"/>
        <n v="18725"/>
        <n v="11972"/>
        <n v="31822"/>
        <n v="8803"/>
        <n v="32136"/>
        <n v="17567"/>
        <n v="16200"/>
        <n v="24023"/>
        <n v="21066"/>
        <n v="2108"/>
        <n v="16866"/>
        <n v="9584"/>
        <n v="24950"/>
        <n v="16257"/>
        <n v="13456"/>
        <n v="23390"/>
        <n v="29100"/>
        <n v="14236"/>
        <n v="25300"/>
        <n v="7981"/>
        <n v="18487"/>
        <n v="55805"/>
        <n v="28000"/>
        <n v="32877"/>
        <n v="53400"/>
        <n v="9500"/>
        <n v="17900"/>
        <n v="51000"/>
        <n v="29000"/>
        <n v="13681"/>
        <n v="10428"/>
        <n v="19868"/>
        <n v="35423"/>
        <n v="35251"/>
        <n v="10719"/>
        <n v="12714"/>
        <n v="8476"/>
        <n v="41400"/>
        <n v="24420"/>
        <n v="26350"/>
        <n v="26218"/>
        <n v="20203"/>
        <n v="10847"/>
        <n v="25488"/>
        <n v="32160"/>
        <n v="19000"/>
        <n v="61845"/>
        <n v="10993"/>
        <n v="34643"/>
        <n v="36000"/>
        <n v="37822"/>
        <n v="14779"/>
        <n v="4050"/>
        <n v="33549"/>
        <n v="13730"/>
        <n v="15476"/>
        <n v="20600"/>
        <n v="17442"/>
        <n v="25789"/>
        <n v="13290"/>
        <n v="2642"/>
        <n v="35533"/>
        <n v="36107"/>
        <n v="20000"/>
        <n v="31925"/>
        <n v="19511"/>
        <n v="37777"/>
        <n v="37853"/>
        <n v="25822"/>
        <n v="12107"/>
        <n v="17303"/>
        <n v="10045"/>
        <n v="20593"/>
        <n v="17000"/>
        <n v="16459"/>
        <n v="20101"/>
        <n v="40465"/>
        <n v="24119"/>
        <n v="28897"/>
        <n v="9890"/>
        <n v="7145"/>
        <n v="37000"/>
        <n v="40778"/>
        <n v="26404"/>
        <n v="40000"/>
        <n v="36389"/>
        <n v="35828"/>
        <n v="21137"/>
        <n v="28342"/>
        <n v="20642"/>
        <n v="26373"/>
        <n v="31579"/>
        <n v="56215"/>
        <n v="23010"/>
        <n v="53019"/>
        <n v="19991"/>
        <n v="27739"/>
        <n v="17126"/>
        <n v="27373"/>
        <n v="47700"/>
        <n v="70332"/>
        <n v="42327"/>
        <n v="57279"/>
        <n v="29126"/>
        <n v="44000"/>
        <n v="52000"/>
        <n v="24854"/>
        <n v="26660"/>
        <n v="40266"/>
        <n v="36797"/>
        <n v="21704"/>
        <n v="30500"/>
        <n v="46000"/>
        <n v="25000"/>
        <n v="26754"/>
        <n v="54595"/>
        <n v="33000"/>
        <n v="17852"/>
        <n v="51024"/>
        <n v="29290"/>
        <n v="39792"/>
        <n v="7130"/>
        <n v="32152"/>
        <n v="18787"/>
        <n v="34622"/>
        <n v="39732"/>
        <n v="62000"/>
        <n v="22289"/>
        <n v="16400"/>
        <n v="94094"/>
        <n v="26041"/>
        <n v="45800"/>
        <n v="20141"/>
        <n v="44600"/>
        <n v="42000"/>
        <n v="60125"/>
        <n v="36694"/>
        <n v="41000"/>
        <n v="37735"/>
        <n v="28002"/>
        <n v="32396"/>
        <n v="42798"/>
        <n v="30657"/>
        <n v="43266"/>
        <n v="48567"/>
        <n v="31818"/>
        <n v="35584"/>
        <n v="33126"/>
        <n v="27235"/>
        <n v="39796"/>
        <n v="31679"/>
        <n v="50809"/>
        <n v="53800"/>
        <n v="36964"/>
        <n v="22000"/>
        <n v="43152"/>
        <n v="43411"/>
        <n v="30990"/>
        <n v="29154"/>
        <n v="77119"/>
        <n v="58000"/>
        <n v="38000"/>
        <n v="25323"/>
        <n v="29726"/>
        <n v="41694"/>
        <n v="38030"/>
        <n v="73199"/>
        <n v="33579"/>
        <n v="34802"/>
        <n v="27879"/>
        <n v="38077"/>
        <n v="47250"/>
        <n v="23550"/>
        <n v="51157"/>
        <n v="68582"/>
        <n v="45027"/>
        <n v="46600"/>
        <n v="39500"/>
        <n v="26000"/>
        <n v="55635"/>
        <n v="35730"/>
        <n v="61696"/>
        <n v="31000"/>
        <n v="73000"/>
        <n v="63215"/>
        <n v="35781"/>
        <n v="11000"/>
        <n v="85000"/>
        <n v="43248"/>
        <n v="48571"/>
        <n v="70000"/>
        <n v="55000"/>
        <n v="35550"/>
        <n v="44559"/>
        <n v="30576"/>
        <n v="45000"/>
        <n v="60333"/>
        <n v="31632"/>
        <n v="49000"/>
        <n v="37392"/>
        <n v="48925"/>
        <n v="50573"/>
        <n v="48300"/>
        <n v="49432"/>
        <n v="60000"/>
        <n v="50789"/>
        <n v="50765"/>
        <n v="69000"/>
        <n v="55216"/>
        <n v="55159"/>
        <n v="47000"/>
        <n v="55305"/>
        <n v="74074"/>
        <n v="30700"/>
        <n v="32000"/>
        <n v="30051"/>
        <n v="53552"/>
        <n v="88098"/>
        <n v="36242"/>
        <n v="44183"/>
        <n v="32292"/>
        <n v="50187"/>
        <n v="39000"/>
        <n v="26700"/>
        <n v="69900"/>
        <n v="40195"/>
        <n v="30718"/>
        <n v="36319"/>
        <n v="41628"/>
        <n v="68700"/>
        <n v="62057"/>
        <n v="80253"/>
        <n v="48800"/>
        <n v="61550"/>
        <n v="46388"/>
        <n v="40009"/>
        <n v="79500"/>
        <n v="36610"/>
        <n v="56063"/>
        <n v="46400"/>
        <n v="78300"/>
        <n v="50000"/>
        <n v="37963"/>
        <n v="64986"/>
        <n v="70633"/>
        <n v="81094"/>
        <n v="28350"/>
        <n v="42700"/>
        <n v="40236"/>
        <n v="55747"/>
        <n v="42596"/>
        <n v="74367"/>
        <n v="63000"/>
        <n v="56659"/>
        <n v="20800"/>
        <n v="61035"/>
        <n v="73534"/>
        <n v="45121"/>
        <n v="64000"/>
        <n v="53000"/>
        <n v="93000"/>
        <n v="34100"/>
        <n v="56284"/>
        <n v="56212"/>
        <n v="45203"/>
        <n v="49168"/>
        <n v="52200"/>
        <n v="55015"/>
        <n v="62146"/>
        <n v="66391"/>
        <n v="86929"/>
        <n v="71700"/>
        <n v="63107"/>
        <n v="61500"/>
        <n v="56644"/>
        <n v="59651"/>
        <n v="55626"/>
        <n v="56642"/>
        <n v="55191"/>
        <n v="59000"/>
        <n v="66000"/>
        <n v="55280"/>
        <n v="72417"/>
        <n v="72291"/>
        <n v="53182"/>
        <n v="57330"/>
        <n v="55993"/>
        <n v="74358"/>
        <n v="59747"/>
        <n v="64800"/>
        <n v="38464"/>
        <n v="61161"/>
        <n v="63076"/>
        <n v="54000"/>
        <n v="77069"/>
        <n v="71312"/>
        <n v="68000"/>
        <n v="90000"/>
        <n v="88375"/>
        <n v="69541"/>
        <n v="72653"/>
        <n v="69362"/>
        <n v="67822"/>
        <n v="51493"/>
        <n v="74820"/>
        <n v="96000"/>
        <n v="49468"/>
        <n v="72089"/>
        <n v="87600"/>
        <n v="78890"/>
        <n v="98500"/>
        <n v="65000"/>
        <n v="72900"/>
        <n v="99987"/>
        <n v="72475"/>
        <n v="47540"/>
        <n v="39833"/>
        <n v="63935"/>
        <n v="71000"/>
        <n v="71845"/>
        <n v="79000"/>
        <n v="76000"/>
        <n v="80000"/>
        <n v="64207"/>
        <n v="74000"/>
        <n v="96182"/>
        <n v="95850"/>
        <n v="54086"/>
        <n v="103238"/>
        <n v="67258"/>
        <n v="103104"/>
        <n v="81455"/>
        <n v="95795"/>
        <n v="92253"/>
        <n v="98044"/>
        <n v="120000"/>
        <n v="107000"/>
        <n v="98000"/>
        <n v="44652"/>
        <n v="112500"/>
        <n v="99976"/>
        <n v="67453"/>
        <n v="52100"/>
        <n v="81500"/>
        <n v="86000"/>
        <n v="77669"/>
        <n v="111000"/>
        <n v="104310"/>
        <n v="71120"/>
        <n v="102525"/>
        <n v="103886"/>
        <n v="109725"/>
        <n v="92000"/>
        <n v="80137"/>
        <n v="116100"/>
        <n v="120690"/>
        <n v="105604"/>
        <n v="96500"/>
        <n v="92152"/>
        <n v="93432"/>
        <n v="149000"/>
        <n v="106000"/>
        <n v="139700"/>
        <n v="140000"/>
        <m/>
      </sharedItems>
    </cacheField>
    <cacheField name="Motor" numFmtId="0">
      <sharedItems containsBlank="1" count="7">
        <s v="1.5L"/>
        <s v="1.0L"/>
        <s v="2.0L"/>
        <s v="1.4L"/>
        <s v="1.6L"/>
        <s v="1.2L"/>
        <m/>
      </sharedItems>
    </cacheField>
    <cacheField name="Transmision" numFmtId="0">
      <sharedItems containsBlank="1"/>
    </cacheField>
    <cacheField name="Combustible" numFmtId="0">
      <sharedItems containsBlank="1"/>
    </cacheField>
    <cacheField name="Propietarios" numFmtId="0">
      <sharedItems containsString="0" containsBlank="1" containsNumber="1" containsInteger="1" minValue="1" maxValue="7" count="8">
        <n v="1"/>
        <n v="2"/>
        <n v="3"/>
        <n v="5"/>
        <n v="4"/>
        <n v="6"/>
        <n v="7"/>
        <m/>
      </sharedItems>
    </cacheField>
    <cacheField name="Precio (Moneda)" numFmtId="164">
      <sharedItems containsString="0" containsBlank="1" containsNumber="1" containsInteger="1" minValue="5000" maxValue="30450" count="357">
        <n v="30450"/>
        <n v="29995"/>
        <n v="29990"/>
        <n v="28950"/>
        <n v="28499"/>
        <n v="27179"/>
        <n v="26900"/>
        <n v="26499"/>
        <n v="25995"/>
        <n v="25990"/>
        <n v="25890"/>
        <n v="25399"/>
        <n v="25290"/>
        <n v="24999"/>
        <n v="24990"/>
        <n v="24795"/>
        <n v="24790"/>
        <n v="24499"/>
        <n v="24495"/>
        <n v="23390"/>
        <n v="23000"/>
        <n v="22995"/>
        <n v="22500"/>
        <n v="22499"/>
        <n v="22490"/>
        <n v="21995"/>
        <n v="21950"/>
        <n v="21799"/>
        <n v="21490"/>
        <n v="21390"/>
        <n v="21210"/>
        <n v="21200"/>
        <n v="21100"/>
        <n v="21000"/>
        <n v="20999"/>
        <n v="20995"/>
        <n v="20745"/>
        <n v="20629"/>
        <n v="20555"/>
        <n v="20500"/>
        <n v="20499"/>
        <n v="20495"/>
        <n v="20490"/>
        <n v="20470"/>
        <n v="20399"/>
        <n v="20300"/>
        <n v="20150"/>
        <n v="20095"/>
        <n v="20000"/>
        <n v="19999"/>
        <n v="19995"/>
        <n v="19990"/>
        <n v="19970"/>
        <n v="19799"/>
        <n v="19790"/>
        <n v="19750"/>
        <n v="19610"/>
        <n v="19500"/>
        <n v="19499"/>
        <n v="19495"/>
        <n v="19470"/>
        <n v="19399"/>
        <n v="19299"/>
        <n v="19143"/>
        <n v="18999"/>
        <n v="18995"/>
        <n v="18994"/>
        <n v="18990"/>
        <n v="18989"/>
        <n v="18800"/>
        <n v="18699"/>
        <n v="18640"/>
        <n v="18600"/>
        <n v="18580"/>
        <n v="18500"/>
        <n v="18495"/>
        <n v="18470"/>
        <n v="18395"/>
        <n v="18380"/>
        <n v="18300"/>
        <n v="18295"/>
        <n v="18000"/>
        <n v="17999"/>
        <n v="17995"/>
        <n v="17990"/>
        <n v="17989"/>
        <n v="17970"/>
        <n v="17950"/>
        <n v="17790"/>
        <n v="17750"/>
        <n v="17690"/>
        <n v="17499"/>
        <n v="17495"/>
        <n v="17490"/>
        <n v="17421"/>
        <n v="17295"/>
        <n v="17200"/>
        <n v="17198"/>
        <n v="17195"/>
        <n v="17100"/>
        <n v="17000"/>
        <n v="16990"/>
        <n v="16985"/>
        <n v="16970"/>
        <n v="16900"/>
        <n v="16850"/>
        <n v="16847"/>
        <n v="16700"/>
        <n v="16699"/>
        <n v="16698"/>
        <n v="16689"/>
        <n v="16680"/>
        <n v="16495"/>
        <n v="16300"/>
        <n v="16250"/>
        <n v="16200"/>
        <n v="15999"/>
        <n v="15995"/>
        <n v="15990"/>
        <n v="15970"/>
        <n v="15690"/>
        <n v="15643"/>
        <n v="15590"/>
        <n v="15495"/>
        <n v="15356"/>
        <n v="15300"/>
        <n v="15189"/>
        <n v="15043"/>
        <n v="14995"/>
        <n v="14990"/>
        <n v="14980"/>
        <n v="14974"/>
        <n v="14950"/>
        <n v="14949"/>
        <n v="14900"/>
        <n v="14837"/>
        <n v="14800"/>
        <n v="14795"/>
        <n v="14750"/>
        <n v="14700"/>
        <n v="14600"/>
        <n v="14500"/>
        <n v="14499"/>
        <n v="14495"/>
        <n v="14444"/>
        <n v="14400"/>
        <n v="14300"/>
        <n v="14295"/>
        <n v="14250"/>
        <n v="14110"/>
        <n v="14094"/>
        <n v="14000"/>
        <n v="13999"/>
        <n v="13997"/>
        <n v="13995"/>
        <n v="13980"/>
        <n v="13946"/>
        <n v="13945"/>
        <n v="13795"/>
        <n v="13749"/>
        <n v="13679"/>
        <n v="13594"/>
        <n v="13560"/>
        <n v="13555"/>
        <n v="13500"/>
        <n v="13495"/>
        <n v="13490"/>
        <n v="13470"/>
        <n v="13350"/>
        <n v="13289"/>
        <n v="13250"/>
        <n v="13200"/>
        <n v="13000"/>
        <n v="12999"/>
        <n v="12995"/>
        <n v="12979"/>
        <n v="12950"/>
        <n v="12940"/>
        <n v="12749"/>
        <n v="12725"/>
        <n v="12699"/>
        <n v="12695"/>
        <n v="12650"/>
        <n v="12600"/>
        <n v="12595"/>
        <n v="12579"/>
        <n v="12500"/>
        <n v="12499"/>
        <n v="12495"/>
        <n v="12490"/>
        <n v="12449"/>
        <n v="12400"/>
        <n v="12300"/>
        <n v="12200"/>
        <n v="12190"/>
        <n v="12180"/>
        <n v="12138"/>
        <n v="12100"/>
        <n v="12000"/>
        <n v="11999"/>
        <n v="11998"/>
        <n v="11995"/>
        <n v="11991"/>
        <n v="11990"/>
        <n v="11989"/>
        <n v="11979"/>
        <n v="11850"/>
        <n v="11840"/>
        <n v="11800"/>
        <n v="11799"/>
        <n v="11795"/>
        <n v="11790"/>
        <n v="11700"/>
        <n v="11695"/>
        <n v="11690"/>
        <n v="11620"/>
        <n v="11590"/>
        <n v="11500"/>
        <n v="11499"/>
        <n v="11495"/>
        <n v="11494"/>
        <n v="11490"/>
        <n v="11489"/>
        <n v="11454"/>
        <n v="11450"/>
        <n v="11399"/>
        <n v="11390"/>
        <n v="11300"/>
        <n v="11299"/>
        <n v="11295"/>
        <n v="11280"/>
        <n v="11275"/>
        <n v="11268"/>
        <n v="11200"/>
        <n v="11183"/>
        <n v="11115"/>
        <n v="11099"/>
        <n v="11000"/>
        <n v="10999"/>
        <n v="10995"/>
        <n v="10990"/>
        <n v="10980"/>
        <n v="10950"/>
        <n v="10890"/>
        <n v="10888"/>
        <n v="10799"/>
        <n v="10790"/>
        <n v="10779"/>
        <n v="10755"/>
        <n v="10750"/>
        <n v="10700"/>
        <n v="10699"/>
        <n v="10695"/>
        <n v="10598"/>
        <n v="10579"/>
        <n v="10575"/>
        <n v="10500"/>
        <n v="10499"/>
        <n v="10495"/>
        <n v="10490"/>
        <n v="10480"/>
        <n v="10431"/>
        <n v="10403"/>
        <n v="10350"/>
        <n v="10345"/>
        <n v="10299"/>
        <n v="10294"/>
        <n v="10279"/>
        <n v="10250"/>
        <n v="10094"/>
        <n v="10000"/>
        <n v="9999"/>
        <n v="9995"/>
        <n v="9991"/>
        <n v="9990"/>
        <n v="9978"/>
        <n v="9975"/>
        <n v="9950"/>
        <n v="9900"/>
        <n v="9850"/>
        <n v="9799"/>
        <n v="9750"/>
        <n v="9699"/>
        <n v="9690"/>
        <n v="9660"/>
        <n v="9595"/>
        <n v="9590"/>
        <n v="9499"/>
        <n v="9495"/>
        <n v="9490"/>
        <n v="9480"/>
        <n v="9450"/>
        <n v="9395"/>
        <n v="9375"/>
        <n v="9350"/>
        <n v="9300"/>
        <n v="9299"/>
        <n v="9250"/>
        <n v="9050"/>
        <n v="9000"/>
        <n v="8995"/>
        <n v="8994"/>
        <n v="8990"/>
        <n v="8980"/>
        <n v="8950"/>
        <n v="8895"/>
        <n v="8850"/>
        <n v="8790"/>
        <n v="8750"/>
        <n v="8700"/>
        <n v="8695"/>
        <n v="8690"/>
        <n v="8600"/>
        <n v="8595"/>
        <n v="8500"/>
        <n v="8499"/>
        <n v="8495"/>
        <n v="8450"/>
        <n v="8399"/>
        <n v="8300"/>
        <n v="8299"/>
        <n v="8250"/>
        <n v="8248"/>
        <n v="8195"/>
        <n v="7995"/>
        <n v="7990"/>
        <n v="7989"/>
        <n v="7980"/>
        <n v="7800"/>
        <n v="7790"/>
        <n v="7750"/>
        <n v="7699"/>
        <n v="7695"/>
        <n v="7691"/>
        <n v="7510"/>
        <n v="7495"/>
        <n v="7490"/>
        <n v="7450"/>
        <n v="7400"/>
        <n v="7399"/>
        <n v="7345"/>
        <n v="7289"/>
        <n v="7089"/>
        <n v="7000"/>
        <n v="6995"/>
        <n v="6990"/>
        <n v="6795"/>
        <n v="6690"/>
        <n v="6655"/>
        <n v="6550"/>
        <n v="6500"/>
        <n v="6490"/>
        <n v="6489"/>
        <n v="5495"/>
        <n v="5250"/>
        <n v="5000"/>
        <m/>
      </sharedItems>
    </cacheField>
    <cacheField name="Vendedor" numFmtId="0">
      <sharedItems containsBlank="1" count="5">
        <s v="Araceli"/>
        <s v="Daniel"/>
        <s v="Sebastian"/>
        <s v="Leila"/>
        <m/>
      </sharedItems>
    </cacheField>
  </cacheFields>
  <extLst>
    <ext xmlns:x14="http://schemas.microsoft.com/office/spreadsheetml/2009/9/main" uri="{725AE2AE-9491-48be-B2B4-4EB974FC3084}">
      <x14:pivotCacheDefinition pivotCacheId="19834631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g" refreshedDate="45902.784775" createdVersion="8" refreshedVersion="8" minRefreshableVersion="3" recordCount="471" xr:uid="{58AD0CC5-11A9-4AF9-8A1A-102186F92190}">
  <cacheSource type="worksheet">
    <worksheetSource name="Tabla1"/>
  </cacheSource>
  <cacheFields count="9">
    <cacheField name="Año" numFmtId="0">
      <sharedItems containsSemiMixedTypes="0" containsString="0" containsNumber="1" containsInteger="1" minValue="2014" maxValue="2022" count="9">
        <n v="2022"/>
        <n v="2021"/>
        <n v="2020"/>
        <n v="2019"/>
        <n v="2018"/>
        <n v="2017"/>
        <n v="2016"/>
        <n v="2014"/>
        <n v="2015"/>
      </sharedItems>
    </cacheField>
    <cacheField name="Tipo" numFmtId="0">
      <sharedItems/>
    </cacheField>
    <cacheField name="Kilometraje" numFmtId="0">
      <sharedItems containsSemiMixedTypes="0" containsString="0" containsNumber="1" containsInteger="1" minValue="9" maxValue="149000" count="416">
        <n v="1500"/>
        <n v="3000"/>
        <n v="9"/>
        <n v="14500"/>
        <n v="4293"/>
        <n v="5008"/>
        <n v="2971"/>
        <n v="3529"/>
        <n v="9044"/>
        <n v="2000"/>
        <n v="11775"/>
        <n v="5246"/>
        <n v="364"/>
        <n v="8555"/>
        <n v="2067"/>
        <n v="9700"/>
        <n v="10000"/>
        <n v="5550"/>
        <n v="14490"/>
        <n v="10761"/>
        <n v="18250"/>
        <n v="21555"/>
        <n v="22500"/>
        <n v="12066"/>
        <n v="27811"/>
        <n v="14201"/>
        <n v="13320"/>
        <n v="34000"/>
        <n v="16997"/>
        <n v="10306"/>
        <n v="12433"/>
        <n v="23645"/>
        <n v="15769"/>
        <n v="23232"/>
        <n v="24850"/>
        <n v="10250"/>
        <n v="22451"/>
        <n v="22214"/>
        <n v="20322"/>
        <n v="15187"/>
        <n v="22199"/>
        <n v="17634"/>
        <n v="30000"/>
        <n v="11411"/>
        <n v="16019"/>
        <n v="20671"/>
        <n v="19495"/>
        <n v="780"/>
        <n v="2688"/>
        <n v="76923"/>
        <n v="16555"/>
        <n v="15817"/>
        <n v="18725"/>
        <n v="11972"/>
        <n v="31822"/>
        <n v="8803"/>
        <n v="32136"/>
        <n v="17567"/>
        <n v="16200"/>
        <n v="24023"/>
        <n v="21066"/>
        <n v="2108"/>
        <n v="16866"/>
        <n v="9584"/>
        <n v="24950"/>
        <n v="16257"/>
        <n v="13456"/>
        <n v="23390"/>
        <n v="29100"/>
        <n v="14236"/>
        <n v="25300"/>
        <n v="7981"/>
        <n v="18487"/>
        <n v="55805"/>
        <n v="28000"/>
        <n v="32877"/>
        <n v="53400"/>
        <n v="9500"/>
        <n v="17900"/>
        <n v="51000"/>
        <n v="29000"/>
        <n v="13681"/>
        <n v="10428"/>
        <n v="19868"/>
        <n v="35423"/>
        <n v="35251"/>
        <n v="10719"/>
        <n v="12714"/>
        <n v="8476"/>
        <n v="41400"/>
        <n v="24420"/>
        <n v="26350"/>
        <n v="26218"/>
        <n v="20203"/>
        <n v="10847"/>
        <n v="25488"/>
        <n v="32160"/>
        <n v="19000"/>
        <n v="61845"/>
        <n v="10993"/>
        <n v="34643"/>
        <n v="36000"/>
        <n v="37822"/>
        <n v="14779"/>
        <n v="4050"/>
        <n v="33549"/>
        <n v="13730"/>
        <n v="15476"/>
        <n v="20600"/>
        <n v="17442"/>
        <n v="25789"/>
        <n v="13290"/>
        <n v="2642"/>
        <n v="35533"/>
        <n v="36107"/>
        <n v="20000"/>
        <n v="31925"/>
        <n v="19511"/>
        <n v="37777"/>
        <n v="37853"/>
        <n v="25822"/>
        <n v="12107"/>
        <n v="17303"/>
        <n v="10045"/>
        <n v="20593"/>
        <n v="17000"/>
        <n v="16459"/>
        <n v="20101"/>
        <n v="40465"/>
        <n v="24119"/>
        <n v="28897"/>
        <n v="9890"/>
        <n v="7145"/>
        <n v="37000"/>
        <n v="40778"/>
        <n v="26404"/>
        <n v="40000"/>
        <n v="36389"/>
        <n v="35828"/>
        <n v="21137"/>
        <n v="28342"/>
        <n v="20642"/>
        <n v="26373"/>
        <n v="31579"/>
        <n v="56215"/>
        <n v="23010"/>
        <n v="53019"/>
        <n v="19991"/>
        <n v="27739"/>
        <n v="17126"/>
        <n v="27373"/>
        <n v="47700"/>
        <n v="70332"/>
        <n v="42327"/>
        <n v="57279"/>
        <n v="29126"/>
        <n v="44000"/>
        <n v="52000"/>
        <n v="24854"/>
        <n v="26660"/>
        <n v="40266"/>
        <n v="36797"/>
        <n v="21704"/>
        <n v="30500"/>
        <n v="46000"/>
        <n v="25000"/>
        <n v="26754"/>
        <n v="54595"/>
        <n v="33000"/>
        <n v="17852"/>
        <n v="51024"/>
        <n v="29290"/>
        <n v="39792"/>
        <n v="7130"/>
        <n v="32152"/>
        <n v="18787"/>
        <n v="34622"/>
        <n v="39732"/>
        <n v="62000"/>
        <n v="22289"/>
        <n v="16400"/>
        <n v="94094"/>
        <n v="26041"/>
        <n v="45800"/>
        <n v="20141"/>
        <n v="44600"/>
        <n v="42000"/>
        <n v="60125"/>
        <n v="36694"/>
        <n v="41000"/>
        <n v="37735"/>
        <n v="28002"/>
        <n v="32396"/>
        <n v="42798"/>
        <n v="30657"/>
        <n v="43266"/>
        <n v="48567"/>
        <n v="31818"/>
        <n v="35584"/>
        <n v="33126"/>
        <n v="27235"/>
        <n v="39796"/>
        <n v="31679"/>
        <n v="50809"/>
        <n v="53800"/>
        <n v="36964"/>
        <n v="22000"/>
        <n v="43152"/>
        <n v="43411"/>
        <n v="30990"/>
        <n v="29154"/>
        <n v="77119"/>
        <n v="58000"/>
        <n v="38000"/>
        <n v="25323"/>
        <n v="29726"/>
        <n v="41694"/>
        <n v="38030"/>
        <n v="73199"/>
        <n v="33579"/>
        <n v="34802"/>
        <n v="27879"/>
        <n v="38077"/>
        <n v="47250"/>
        <n v="23550"/>
        <n v="51157"/>
        <n v="68582"/>
        <n v="45027"/>
        <n v="46600"/>
        <n v="39500"/>
        <n v="26000"/>
        <n v="55635"/>
        <n v="35730"/>
        <n v="61696"/>
        <n v="31000"/>
        <n v="73000"/>
        <n v="63215"/>
        <n v="35781"/>
        <n v="11000"/>
        <n v="85000"/>
        <n v="43248"/>
        <n v="48571"/>
        <n v="70000"/>
        <n v="55000"/>
        <n v="35550"/>
        <n v="44559"/>
        <n v="30576"/>
        <n v="45000"/>
        <n v="60333"/>
        <n v="31632"/>
        <n v="49000"/>
        <n v="37392"/>
        <n v="48925"/>
        <n v="50573"/>
        <n v="48300"/>
        <n v="49432"/>
        <n v="60000"/>
        <n v="50789"/>
        <n v="50765"/>
        <n v="69000"/>
        <n v="55216"/>
        <n v="55159"/>
        <n v="47000"/>
        <n v="55305"/>
        <n v="74074"/>
        <n v="30700"/>
        <n v="32000"/>
        <n v="30051"/>
        <n v="53552"/>
        <n v="88098"/>
        <n v="36242"/>
        <n v="44183"/>
        <n v="32292"/>
        <n v="50187"/>
        <n v="39000"/>
        <n v="26700"/>
        <n v="69900"/>
        <n v="40195"/>
        <n v="30718"/>
        <n v="36319"/>
        <n v="41628"/>
        <n v="68700"/>
        <n v="62057"/>
        <n v="80253"/>
        <n v="48800"/>
        <n v="61550"/>
        <n v="46388"/>
        <n v="40009"/>
        <n v="79500"/>
        <n v="36610"/>
        <n v="56063"/>
        <n v="46400"/>
        <n v="78300"/>
        <n v="50000"/>
        <n v="37963"/>
        <n v="64986"/>
        <n v="70633"/>
        <n v="81094"/>
        <n v="28350"/>
        <n v="42700"/>
        <n v="40236"/>
        <n v="55747"/>
        <n v="42596"/>
        <n v="74367"/>
        <n v="63000"/>
        <n v="56659"/>
        <n v="20800"/>
        <n v="61035"/>
        <n v="73534"/>
        <n v="45121"/>
        <n v="64000"/>
        <n v="53000"/>
        <n v="93000"/>
        <n v="34100"/>
        <n v="56284"/>
        <n v="56212"/>
        <n v="45203"/>
        <n v="49168"/>
        <n v="52200"/>
        <n v="55015"/>
        <n v="62146"/>
        <n v="66391"/>
        <n v="86929"/>
        <n v="71700"/>
        <n v="63107"/>
        <n v="61500"/>
        <n v="56644"/>
        <n v="59651"/>
        <n v="55626"/>
        <n v="56642"/>
        <n v="55191"/>
        <n v="59000"/>
        <n v="66000"/>
        <n v="55280"/>
        <n v="72417"/>
        <n v="72291"/>
        <n v="53182"/>
        <n v="57330"/>
        <n v="55993"/>
        <n v="74358"/>
        <n v="59747"/>
        <n v="64800"/>
        <n v="38464"/>
        <n v="61161"/>
        <n v="63076"/>
        <n v="54000"/>
        <n v="77069"/>
        <n v="71312"/>
        <n v="68000"/>
        <n v="90000"/>
        <n v="88375"/>
        <n v="69541"/>
        <n v="72653"/>
        <n v="69362"/>
        <n v="67822"/>
        <n v="51493"/>
        <n v="74820"/>
        <n v="96000"/>
        <n v="49468"/>
        <n v="72089"/>
        <n v="87600"/>
        <n v="78890"/>
        <n v="98500"/>
        <n v="65000"/>
        <n v="72900"/>
        <n v="99987"/>
        <n v="72475"/>
        <n v="47540"/>
        <n v="39833"/>
        <n v="63935"/>
        <n v="71000"/>
        <n v="71845"/>
        <n v="79000"/>
        <n v="76000"/>
        <n v="80000"/>
        <n v="64207"/>
        <n v="74000"/>
        <n v="96182"/>
        <n v="95850"/>
        <n v="54086"/>
        <n v="103238"/>
        <n v="67258"/>
        <n v="103104"/>
        <n v="81455"/>
        <n v="95795"/>
        <n v="92253"/>
        <n v="98044"/>
        <n v="120000"/>
        <n v="107000"/>
        <n v="98000"/>
        <n v="44652"/>
        <n v="112500"/>
        <n v="99976"/>
        <n v="67453"/>
        <n v="52100"/>
        <n v="81500"/>
        <n v="86000"/>
        <n v="77669"/>
        <n v="111000"/>
        <n v="104310"/>
        <n v="71120"/>
        <n v="102525"/>
        <n v="103886"/>
        <n v="109725"/>
        <n v="92000"/>
        <n v="80137"/>
        <n v="116100"/>
        <n v="120690"/>
        <n v="105604"/>
        <n v="96500"/>
        <n v="92152"/>
        <n v="93432"/>
        <n v="149000"/>
        <n v="106000"/>
        <n v="139700"/>
        <n v="140000"/>
      </sharedItems>
    </cacheField>
    <cacheField name="Motor" numFmtId="0">
      <sharedItems count="6">
        <s v="1.5L"/>
        <s v="1.0L"/>
        <s v="2.0L"/>
        <s v="1.4L"/>
        <s v="1.6L"/>
        <s v="1.2L"/>
      </sharedItems>
    </cacheField>
    <cacheField name="Transmision" numFmtId="0">
      <sharedItems count="2">
        <s v="Automatic"/>
        <s v="Manual"/>
      </sharedItems>
    </cacheField>
    <cacheField name="Combustible" numFmtId="0">
      <sharedItems count="2">
        <s v="Petrol"/>
        <s v="Diesel"/>
      </sharedItems>
    </cacheField>
    <cacheField name="Propietarios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Precio (Moneda)" numFmtId="164">
      <sharedItems containsSemiMixedTypes="0" containsString="0" containsNumber="1" containsInteger="1" minValue="5000" maxValue="30450"/>
    </cacheField>
    <cacheField name="Vendedor" numFmtId="0">
      <sharedItems count="4">
        <s v="Araceli"/>
        <s v="Daniel"/>
        <s v="Sebastian"/>
        <s v="Leil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4">
  <r>
    <x v="0"/>
    <s v="Hatchback"/>
    <x v="0"/>
    <x v="0"/>
    <s v="Automatic"/>
    <s v="Petrol"/>
    <x v="0"/>
    <x v="0"/>
    <x v="0"/>
  </r>
  <r>
    <x v="0"/>
    <s v="Hatchback"/>
    <x v="1"/>
    <x v="1"/>
    <s v="Manual"/>
    <s v="Petrol"/>
    <x v="0"/>
    <x v="1"/>
    <x v="0"/>
  </r>
  <r>
    <x v="0"/>
    <s v="Hatchback"/>
    <x v="2"/>
    <x v="1"/>
    <s v="Automatic"/>
    <s v="Petrol"/>
    <x v="0"/>
    <x v="2"/>
    <x v="1"/>
  </r>
  <r>
    <x v="0"/>
    <s v="Hatchback"/>
    <x v="0"/>
    <x v="0"/>
    <s v="Automatic"/>
    <s v="Petrol"/>
    <x v="0"/>
    <x v="3"/>
    <x v="2"/>
  </r>
  <r>
    <x v="1"/>
    <s v="Hatchback"/>
    <x v="3"/>
    <x v="0"/>
    <s v="Automatic"/>
    <s v="Petrol"/>
    <x v="1"/>
    <x v="4"/>
    <x v="3"/>
  </r>
  <r>
    <x v="0"/>
    <s v="Hatchback"/>
    <x v="4"/>
    <x v="1"/>
    <s v="Automatic"/>
    <s v="Petrol"/>
    <x v="0"/>
    <x v="5"/>
    <x v="3"/>
  </r>
  <r>
    <x v="0"/>
    <s v="Hatchback"/>
    <x v="5"/>
    <x v="0"/>
    <s v="Automatic"/>
    <s v="Petrol"/>
    <x v="0"/>
    <x v="6"/>
    <x v="3"/>
  </r>
  <r>
    <x v="0"/>
    <s v="Hatchback"/>
    <x v="6"/>
    <x v="0"/>
    <s v="Automatic"/>
    <s v="Petrol"/>
    <x v="0"/>
    <x v="7"/>
    <x v="1"/>
  </r>
  <r>
    <x v="0"/>
    <s v="Hatchback"/>
    <x v="7"/>
    <x v="1"/>
    <s v="Manual"/>
    <s v="Petrol"/>
    <x v="0"/>
    <x v="8"/>
    <x v="1"/>
  </r>
  <r>
    <x v="1"/>
    <s v="Hatchback"/>
    <x v="8"/>
    <x v="0"/>
    <s v="Automatic"/>
    <s v="Petrol"/>
    <x v="0"/>
    <x v="8"/>
    <x v="0"/>
  </r>
  <r>
    <x v="0"/>
    <s v="Hatchback"/>
    <x v="9"/>
    <x v="1"/>
    <s v="Manual"/>
    <s v="Petrol"/>
    <x v="0"/>
    <x v="8"/>
    <x v="3"/>
  </r>
  <r>
    <x v="2"/>
    <s v="Hatchback"/>
    <x v="10"/>
    <x v="0"/>
    <s v="Automatic"/>
    <s v="Petrol"/>
    <x v="0"/>
    <x v="9"/>
    <x v="2"/>
  </r>
  <r>
    <x v="1"/>
    <s v="Hatchback"/>
    <x v="11"/>
    <x v="0"/>
    <s v="Automatic"/>
    <s v="Petrol"/>
    <x v="0"/>
    <x v="10"/>
    <x v="1"/>
  </r>
  <r>
    <x v="0"/>
    <s v="Hatchback"/>
    <x v="12"/>
    <x v="1"/>
    <s v="Automatic"/>
    <s v="Petrol"/>
    <x v="1"/>
    <x v="11"/>
    <x v="0"/>
  </r>
  <r>
    <x v="1"/>
    <s v="Hatchback"/>
    <x v="13"/>
    <x v="1"/>
    <s v="Automatic"/>
    <s v="Petrol"/>
    <x v="0"/>
    <x v="12"/>
    <x v="1"/>
  </r>
  <r>
    <x v="0"/>
    <s v="Hatchback"/>
    <x v="14"/>
    <x v="1"/>
    <s v="Automatic"/>
    <s v="Petrol"/>
    <x v="0"/>
    <x v="13"/>
    <x v="1"/>
  </r>
  <r>
    <x v="1"/>
    <s v="Hatchback"/>
    <x v="15"/>
    <x v="1"/>
    <s v="Manual"/>
    <s v="Petrol"/>
    <x v="0"/>
    <x v="14"/>
    <x v="3"/>
  </r>
  <r>
    <x v="1"/>
    <s v="Hatchback"/>
    <x v="16"/>
    <x v="1"/>
    <s v="Automatic"/>
    <s v="Petrol"/>
    <x v="0"/>
    <x v="14"/>
    <x v="2"/>
  </r>
  <r>
    <x v="1"/>
    <s v="Hatchback"/>
    <x v="17"/>
    <x v="1"/>
    <s v="Automatic"/>
    <s v="Petrol"/>
    <x v="0"/>
    <x v="15"/>
    <x v="3"/>
  </r>
  <r>
    <x v="2"/>
    <s v="Hatchback"/>
    <x v="18"/>
    <x v="2"/>
    <s v="Automatic"/>
    <s v="Petrol"/>
    <x v="1"/>
    <x v="16"/>
    <x v="1"/>
  </r>
  <r>
    <x v="3"/>
    <s v="Hatchback"/>
    <x v="19"/>
    <x v="1"/>
    <s v="Manual"/>
    <s v="Petrol"/>
    <x v="0"/>
    <x v="17"/>
    <x v="3"/>
  </r>
  <r>
    <x v="2"/>
    <s v="Hatchback"/>
    <x v="20"/>
    <x v="0"/>
    <s v="Automatic"/>
    <s v="Petrol"/>
    <x v="1"/>
    <x v="18"/>
    <x v="0"/>
  </r>
  <r>
    <x v="1"/>
    <s v="Hatchback"/>
    <x v="21"/>
    <x v="1"/>
    <s v="Automatic"/>
    <s v="Petrol"/>
    <x v="0"/>
    <x v="19"/>
    <x v="3"/>
  </r>
  <r>
    <x v="1"/>
    <s v="Hatchback"/>
    <x v="22"/>
    <x v="1"/>
    <s v="Automatic"/>
    <s v="Petrol"/>
    <x v="0"/>
    <x v="20"/>
    <x v="0"/>
  </r>
  <r>
    <x v="3"/>
    <s v="Hatchback"/>
    <x v="23"/>
    <x v="1"/>
    <s v="Automatic"/>
    <s v="Petrol"/>
    <x v="0"/>
    <x v="21"/>
    <x v="0"/>
  </r>
  <r>
    <x v="3"/>
    <s v="Hatchback"/>
    <x v="24"/>
    <x v="0"/>
    <s v="Manual"/>
    <s v="Petrol"/>
    <x v="1"/>
    <x v="22"/>
    <x v="1"/>
  </r>
  <r>
    <x v="3"/>
    <s v="Hatchback"/>
    <x v="25"/>
    <x v="0"/>
    <s v="Automatic"/>
    <s v="Petrol"/>
    <x v="1"/>
    <x v="22"/>
    <x v="2"/>
  </r>
  <r>
    <x v="2"/>
    <s v="Hatchback"/>
    <x v="26"/>
    <x v="1"/>
    <s v="Automatic"/>
    <s v="Petrol"/>
    <x v="0"/>
    <x v="23"/>
    <x v="3"/>
  </r>
  <r>
    <x v="2"/>
    <s v="Hatchback"/>
    <x v="27"/>
    <x v="1"/>
    <s v="Automatic"/>
    <s v="Petrol"/>
    <x v="0"/>
    <x v="24"/>
    <x v="3"/>
  </r>
  <r>
    <x v="1"/>
    <s v="Hatchback"/>
    <x v="28"/>
    <x v="1"/>
    <s v="Automatic"/>
    <s v="Petrol"/>
    <x v="0"/>
    <x v="25"/>
    <x v="3"/>
  </r>
  <r>
    <x v="3"/>
    <s v="Hatchback"/>
    <x v="29"/>
    <x v="1"/>
    <s v="Automatic"/>
    <s v="Petrol"/>
    <x v="1"/>
    <x v="26"/>
    <x v="1"/>
  </r>
  <r>
    <x v="2"/>
    <s v="Hatchback"/>
    <x v="30"/>
    <x v="0"/>
    <s v="Manual"/>
    <s v="Petrol"/>
    <x v="0"/>
    <x v="27"/>
    <x v="1"/>
  </r>
  <r>
    <x v="3"/>
    <s v="Hatchback"/>
    <x v="31"/>
    <x v="0"/>
    <s v="Automatic"/>
    <s v="Petrol"/>
    <x v="0"/>
    <x v="28"/>
    <x v="0"/>
  </r>
  <r>
    <x v="2"/>
    <s v="Hatchback"/>
    <x v="32"/>
    <x v="1"/>
    <s v="Manual"/>
    <s v="Petrol"/>
    <x v="0"/>
    <x v="28"/>
    <x v="3"/>
  </r>
  <r>
    <x v="3"/>
    <s v="Hatchback"/>
    <x v="33"/>
    <x v="0"/>
    <s v="Automatic"/>
    <s v="Petrol"/>
    <x v="0"/>
    <x v="29"/>
    <x v="2"/>
  </r>
  <r>
    <x v="4"/>
    <s v="Hatchback"/>
    <x v="34"/>
    <x v="1"/>
    <s v="Automatic"/>
    <s v="Petrol"/>
    <x v="0"/>
    <x v="29"/>
    <x v="1"/>
  </r>
  <r>
    <x v="0"/>
    <s v="Hatchback"/>
    <x v="35"/>
    <x v="1"/>
    <s v="Manual"/>
    <s v="Petrol"/>
    <x v="0"/>
    <x v="30"/>
    <x v="0"/>
  </r>
  <r>
    <x v="1"/>
    <s v="Hatchback"/>
    <x v="36"/>
    <x v="1"/>
    <s v="Manual"/>
    <s v="Petrol"/>
    <x v="1"/>
    <x v="31"/>
    <x v="1"/>
  </r>
  <r>
    <x v="1"/>
    <s v="Hatchback"/>
    <x v="37"/>
    <x v="1"/>
    <s v="Manual"/>
    <s v="Petrol"/>
    <x v="0"/>
    <x v="32"/>
    <x v="1"/>
  </r>
  <r>
    <x v="2"/>
    <s v="Hatchback"/>
    <x v="38"/>
    <x v="1"/>
    <s v="Automatic"/>
    <s v="Petrol"/>
    <x v="1"/>
    <x v="33"/>
    <x v="3"/>
  </r>
  <r>
    <x v="2"/>
    <s v="Hatchback"/>
    <x v="39"/>
    <x v="1"/>
    <s v="Manual"/>
    <s v="Petrol"/>
    <x v="0"/>
    <x v="33"/>
    <x v="2"/>
  </r>
  <r>
    <x v="3"/>
    <s v="Hatchback"/>
    <x v="40"/>
    <x v="2"/>
    <s v="Automatic"/>
    <s v="Petrol"/>
    <x v="1"/>
    <x v="34"/>
    <x v="3"/>
  </r>
  <r>
    <x v="2"/>
    <s v="Hatchback"/>
    <x v="41"/>
    <x v="1"/>
    <s v="Automatic"/>
    <s v="Petrol"/>
    <x v="1"/>
    <x v="35"/>
    <x v="1"/>
  </r>
  <r>
    <x v="3"/>
    <s v="Hatchback"/>
    <x v="42"/>
    <x v="0"/>
    <s v="Manual"/>
    <s v="Petrol"/>
    <x v="0"/>
    <x v="36"/>
    <x v="3"/>
  </r>
  <r>
    <x v="3"/>
    <s v="Hatchback"/>
    <x v="43"/>
    <x v="0"/>
    <s v="Manual"/>
    <s v="Petrol"/>
    <x v="1"/>
    <x v="37"/>
    <x v="0"/>
  </r>
  <r>
    <x v="2"/>
    <s v="Hatchback"/>
    <x v="44"/>
    <x v="1"/>
    <s v="Automatic"/>
    <s v="Petrol"/>
    <x v="0"/>
    <x v="38"/>
    <x v="3"/>
  </r>
  <r>
    <x v="2"/>
    <s v="Hatchback"/>
    <x v="45"/>
    <x v="1"/>
    <s v="Automatic"/>
    <s v="Petrol"/>
    <x v="1"/>
    <x v="39"/>
    <x v="0"/>
  </r>
  <r>
    <x v="3"/>
    <s v="Hatchback"/>
    <x v="46"/>
    <x v="0"/>
    <s v="Manual"/>
    <s v="Petrol"/>
    <x v="1"/>
    <x v="40"/>
    <x v="0"/>
  </r>
  <r>
    <x v="1"/>
    <s v="Hatchback"/>
    <x v="47"/>
    <x v="1"/>
    <s v="Manual"/>
    <s v="Petrol"/>
    <x v="0"/>
    <x v="41"/>
    <x v="1"/>
  </r>
  <r>
    <x v="4"/>
    <s v="Hatchback"/>
    <x v="48"/>
    <x v="3"/>
    <s v="Automatic"/>
    <s v="Petrol"/>
    <x v="1"/>
    <x v="41"/>
    <x v="2"/>
  </r>
  <r>
    <x v="3"/>
    <s v="Hatchback"/>
    <x v="49"/>
    <x v="0"/>
    <s v="Automatic"/>
    <s v="Petrol"/>
    <x v="0"/>
    <x v="42"/>
    <x v="3"/>
  </r>
  <r>
    <x v="0"/>
    <s v="Hatchback"/>
    <x v="50"/>
    <x v="1"/>
    <s v="Manual"/>
    <s v="Petrol"/>
    <x v="0"/>
    <x v="42"/>
    <x v="3"/>
  </r>
  <r>
    <x v="3"/>
    <s v="Hatchback"/>
    <x v="51"/>
    <x v="0"/>
    <s v="Manual"/>
    <s v="Petrol"/>
    <x v="0"/>
    <x v="43"/>
    <x v="3"/>
  </r>
  <r>
    <x v="2"/>
    <s v="Hatchback"/>
    <x v="52"/>
    <x v="1"/>
    <s v="Automatic"/>
    <s v="Petrol"/>
    <x v="0"/>
    <x v="44"/>
    <x v="1"/>
  </r>
  <r>
    <x v="3"/>
    <s v="Hatchback"/>
    <x v="53"/>
    <x v="1"/>
    <s v="Automatic"/>
    <s v="Petrol"/>
    <x v="0"/>
    <x v="45"/>
    <x v="1"/>
  </r>
  <r>
    <x v="3"/>
    <s v="Hatchback"/>
    <x v="54"/>
    <x v="1"/>
    <s v="Automatic"/>
    <s v="Petrol"/>
    <x v="0"/>
    <x v="46"/>
    <x v="0"/>
  </r>
  <r>
    <x v="3"/>
    <s v="Hatchback"/>
    <x v="55"/>
    <x v="1"/>
    <s v="Manual"/>
    <s v="Petrol"/>
    <x v="0"/>
    <x v="47"/>
    <x v="3"/>
  </r>
  <r>
    <x v="3"/>
    <s v="Hatchback"/>
    <x v="56"/>
    <x v="0"/>
    <s v="Manual"/>
    <s v="Petrol"/>
    <x v="0"/>
    <x v="48"/>
    <x v="2"/>
  </r>
  <r>
    <x v="2"/>
    <s v="Hatchback"/>
    <x v="57"/>
    <x v="1"/>
    <s v="Manual"/>
    <s v="Petrol"/>
    <x v="0"/>
    <x v="49"/>
    <x v="1"/>
  </r>
  <r>
    <x v="3"/>
    <s v="Hatchback"/>
    <x v="58"/>
    <x v="1"/>
    <s v="Manual"/>
    <s v="Petrol"/>
    <x v="0"/>
    <x v="50"/>
    <x v="0"/>
  </r>
  <r>
    <x v="3"/>
    <s v="Hatchback"/>
    <x v="59"/>
    <x v="0"/>
    <s v="Automatic"/>
    <s v="Petrol"/>
    <x v="1"/>
    <x v="51"/>
    <x v="1"/>
  </r>
  <r>
    <x v="3"/>
    <s v="Hatchback"/>
    <x v="60"/>
    <x v="0"/>
    <s v="Manual"/>
    <s v="Petrol"/>
    <x v="1"/>
    <x v="51"/>
    <x v="1"/>
  </r>
  <r>
    <x v="1"/>
    <s v="Hatchback"/>
    <x v="61"/>
    <x v="1"/>
    <s v="Manual"/>
    <s v="Petrol"/>
    <x v="0"/>
    <x v="51"/>
    <x v="3"/>
  </r>
  <r>
    <x v="2"/>
    <s v="Hatchback"/>
    <x v="62"/>
    <x v="1"/>
    <s v="Automatic"/>
    <s v="Petrol"/>
    <x v="0"/>
    <x v="51"/>
    <x v="2"/>
  </r>
  <r>
    <x v="2"/>
    <s v="Hatchback"/>
    <x v="63"/>
    <x v="1"/>
    <s v="Manual"/>
    <s v="Petrol"/>
    <x v="0"/>
    <x v="52"/>
    <x v="3"/>
  </r>
  <r>
    <x v="2"/>
    <s v="Hatchback"/>
    <x v="64"/>
    <x v="1"/>
    <s v="Manual"/>
    <s v="Petrol"/>
    <x v="0"/>
    <x v="53"/>
    <x v="1"/>
  </r>
  <r>
    <x v="2"/>
    <s v="Hatchback"/>
    <x v="65"/>
    <x v="1"/>
    <s v="Manual"/>
    <s v="Petrol"/>
    <x v="0"/>
    <x v="54"/>
    <x v="3"/>
  </r>
  <r>
    <x v="3"/>
    <s v="Hatchback"/>
    <x v="66"/>
    <x v="1"/>
    <s v="Manual"/>
    <s v="Petrol"/>
    <x v="0"/>
    <x v="55"/>
    <x v="0"/>
  </r>
  <r>
    <x v="3"/>
    <s v="Hatchback"/>
    <x v="67"/>
    <x v="1"/>
    <s v="Manual"/>
    <s v="Petrol"/>
    <x v="0"/>
    <x v="56"/>
    <x v="3"/>
  </r>
  <r>
    <x v="3"/>
    <s v="Hatchback"/>
    <x v="68"/>
    <x v="1"/>
    <s v="Automatic"/>
    <s v="Petrol"/>
    <x v="0"/>
    <x v="57"/>
    <x v="0"/>
  </r>
  <r>
    <x v="3"/>
    <s v="Hatchback"/>
    <x v="69"/>
    <x v="1"/>
    <s v="Manual"/>
    <s v="Petrol"/>
    <x v="0"/>
    <x v="58"/>
    <x v="0"/>
  </r>
  <r>
    <x v="2"/>
    <s v="Hatchback"/>
    <x v="70"/>
    <x v="1"/>
    <s v="Manual"/>
    <s v="Petrol"/>
    <x v="0"/>
    <x v="59"/>
    <x v="1"/>
  </r>
  <r>
    <x v="3"/>
    <s v="Hatchback"/>
    <x v="71"/>
    <x v="1"/>
    <s v="Manual"/>
    <s v="Petrol"/>
    <x v="0"/>
    <x v="60"/>
    <x v="2"/>
  </r>
  <r>
    <x v="3"/>
    <s v="Hatchback"/>
    <x v="72"/>
    <x v="1"/>
    <s v="Manual"/>
    <s v="Petrol"/>
    <x v="0"/>
    <x v="61"/>
    <x v="3"/>
  </r>
  <r>
    <x v="3"/>
    <s v="Hatchback"/>
    <x v="73"/>
    <x v="1"/>
    <s v="Automatic"/>
    <s v="Petrol"/>
    <x v="0"/>
    <x v="62"/>
    <x v="3"/>
  </r>
  <r>
    <x v="3"/>
    <s v="Hatchback"/>
    <x v="74"/>
    <x v="1"/>
    <s v="Automatic"/>
    <s v="Petrol"/>
    <x v="0"/>
    <x v="63"/>
    <x v="3"/>
  </r>
  <r>
    <x v="3"/>
    <s v="Hatchback"/>
    <x v="75"/>
    <x v="1"/>
    <s v="Manual"/>
    <s v="Petrol"/>
    <x v="0"/>
    <x v="64"/>
    <x v="1"/>
  </r>
  <r>
    <x v="3"/>
    <s v="Hatchback"/>
    <x v="76"/>
    <x v="1"/>
    <s v="Automatic"/>
    <s v="Petrol"/>
    <x v="0"/>
    <x v="65"/>
    <x v="1"/>
  </r>
  <r>
    <x v="2"/>
    <s v="Hatchback"/>
    <x v="77"/>
    <x v="1"/>
    <s v="Manual"/>
    <s v="Petrol"/>
    <x v="0"/>
    <x v="65"/>
    <x v="0"/>
  </r>
  <r>
    <x v="3"/>
    <s v="Hatchback"/>
    <x v="78"/>
    <x v="1"/>
    <s v="Manual"/>
    <s v="Petrol"/>
    <x v="0"/>
    <x v="65"/>
    <x v="3"/>
  </r>
  <r>
    <x v="2"/>
    <s v="Hatchback"/>
    <x v="79"/>
    <x v="1"/>
    <s v="Manual"/>
    <s v="Petrol"/>
    <x v="0"/>
    <x v="66"/>
    <x v="2"/>
  </r>
  <r>
    <x v="3"/>
    <s v="Hatchback"/>
    <x v="80"/>
    <x v="1"/>
    <s v="Automatic"/>
    <s v="Petrol"/>
    <x v="1"/>
    <x v="67"/>
    <x v="1"/>
  </r>
  <r>
    <x v="3"/>
    <s v="Hatchback"/>
    <x v="81"/>
    <x v="1"/>
    <s v="Manual"/>
    <s v="Petrol"/>
    <x v="0"/>
    <x v="67"/>
    <x v="0"/>
  </r>
  <r>
    <x v="2"/>
    <s v="Hatchback"/>
    <x v="82"/>
    <x v="1"/>
    <s v="Manual"/>
    <s v="Petrol"/>
    <x v="0"/>
    <x v="68"/>
    <x v="1"/>
  </r>
  <r>
    <x v="3"/>
    <s v="Hatchback"/>
    <x v="83"/>
    <x v="1"/>
    <s v="Manual"/>
    <s v="Petrol"/>
    <x v="1"/>
    <x v="68"/>
    <x v="1"/>
  </r>
  <r>
    <x v="3"/>
    <s v="Hatchback"/>
    <x v="84"/>
    <x v="0"/>
    <s v="Manual"/>
    <s v="Petrol"/>
    <x v="0"/>
    <x v="69"/>
    <x v="3"/>
  </r>
  <r>
    <x v="2"/>
    <s v="Hatchback"/>
    <x v="85"/>
    <x v="1"/>
    <s v="Manual"/>
    <s v="Petrol"/>
    <x v="0"/>
    <x v="69"/>
    <x v="2"/>
  </r>
  <r>
    <x v="2"/>
    <s v="Hatchback"/>
    <x v="86"/>
    <x v="1"/>
    <s v="Manual"/>
    <s v="Petrol"/>
    <x v="0"/>
    <x v="70"/>
    <x v="3"/>
  </r>
  <r>
    <x v="1"/>
    <s v="Hatchback"/>
    <x v="87"/>
    <x v="1"/>
    <s v="Manual"/>
    <s v="Petrol"/>
    <x v="0"/>
    <x v="71"/>
    <x v="1"/>
  </r>
  <r>
    <x v="2"/>
    <s v="Hatchback"/>
    <x v="88"/>
    <x v="1"/>
    <s v="Manual"/>
    <s v="Petrol"/>
    <x v="0"/>
    <x v="72"/>
    <x v="3"/>
  </r>
  <r>
    <x v="3"/>
    <s v="Hatchback"/>
    <x v="89"/>
    <x v="1"/>
    <s v="Automatic"/>
    <s v="Petrol"/>
    <x v="0"/>
    <x v="73"/>
    <x v="0"/>
  </r>
  <r>
    <x v="2"/>
    <s v="Hatchback"/>
    <x v="90"/>
    <x v="1"/>
    <s v="Manual"/>
    <s v="Petrol"/>
    <x v="1"/>
    <x v="74"/>
    <x v="3"/>
  </r>
  <r>
    <x v="3"/>
    <s v="Hatchback"/>
    <x v="91"/>
    <x v="1"/>
    <s v="Automatic"/>
    <s v="Petrol"/>
    <x v="0"/>
    <x v="75"/>
    <x v="0"/>
  </r>
  <r>
    <x v="2"/>
    <s v="Hatchback"/>
    <x v="92"/>
    <x v="1"/>
    <s v="Manual"/>
    <s v="Petrol"/>
    <x v="0"/>
    <x v="75"/>
    <x v="0"/>
  </r>
  <r>
    <x v="3"/>
    <s v="Hatchback"/>
    <x v="93"/>
    <x v="1"/>
    <s v="Manual"/>
    <s v="Petrol"/>
    <x v="0"/>
    <x v="76"/>
    <x v="1"/>
  </r>
  <r>
    <x v="3"/>
    <s v="Hatchback"/>
    <x v="94"/>
    <x v="1"/>
    <s v="Manual"/>
    <s v="Petrol"/>
    <x v="1"/>
    <x v="77"/>
    <x v="2"/>
  </r>
  <r>
    <x v="3"/>
    <s v="Hatchback"/>
    <x v="95"/>
    <x v="0"/>
    <s v="Manual"/>
    <s v="Petrol"/>
    <x v="0"/>
    <x v="78"/>
    <x v="3"/>
  </r>
  <r>
    <x v="3"/>
    <s v="Hatchback"/>
    <x v="96"/>
    <x v="1"/>
    <s v="Manual"/>
    <s v="Petrol"/>
    <x v="0"/>
    <x v="79"/>
    <x v="3"/>
  </r>
  <r>
    <x v="3"/>
    <s v="Hatchback"/>
    <x v="97"/>
    <x v="1"/>
    <s v="Manual"/>
    <s v="Petrol"/>
    <x v="1"/>
    <x v="80"/>
    <x v="3"/>
  </r>
  <r>
    <x v="3"/>
    <s v="Hatchback"/>
    <x v="98"/>
    <x v="1"/>
    <s v="Automatic"/>
    <s v="Petrol"/>
    <x v="1"/>
    <x v="81"/>
    <x v="1"/>
  </r>
  <r>
    <x v="2"/>
    <s v="Hatchback"/>
    <x v="99"/>
    <x v="1"/>
    <s v="Manual"/>
    <s v="Petrol"/>
    <x v="0"/>
    <x v="81"/>
    <x v="1"/>
  </r>
  <r>
    <x v="2"/>
    <s v="Hatchback"/>
    <x v="100"/>
    <x v="1"/>
    <s v="Manual"/>
    <s v="Petrol"/>
    <x v="0"/>
    <x v="81"/>
    <x v="0"/>
  </r>
  <r>
    <x v="2"/>
    <s v="Hatchback"/>
    <x v="97"/>
    <x v="1"/>
    <s v="Manual"/>
    <s v="Petrol"/>
    <x v="0"/>
    <x v="82"/>
    <x v="3"/>
  </r>
  <r>
    <x v="4"/>
    <s v="Hatchback"/>
    <x v="101"/>
    <x v="1"/>
    <s v="Manual"/>
    <s v="Petrol"/>
    <x v="0"/>
    <x v="83"/>
    <x v="2"/>
  </r>
  <r>
    <x v="3"/>
    <s v="Hatchback"/>
    <x v="102"/>
    <x v="0"/>
    <s v="Automatic"/>
    <s v="Petrol"/>
    <x v="1"/>
    <x v="83"/>
    <x v="1"/>
  </r>
  <r>
    <x v="2"/>
    <s v="Hatchback"/>
    <x v="103"/>
    <x v="1"/>
    <s v="Manual"/>
    <s v="Petrol"/>
    <x v="0"/>
    <x v="84"/>
    <x v="0"/>
  </r>
  <r>
    <x v="2"/>
    <s v="Hatchback"/>
    <x v="104"/>
    <x v="1"/>
    <s v="Manual"/>
    <s v="Petrol"/>
    <x v="0"/>
    <x v="84"/>
    <x v="1"/>
  </r>
  <r>
    <x v="2"/>
    <s v="Hatchback"/>
    <x v="105"/>
    <x v="1"/>
    <s v="Manual"/>
    <s v="Petrol"/>
    <x v="0"/>
    <x v="84"/>
    <x v="1"/>
  </r>
  <r>
    <x v="3"/>
    <s v="Hatchback"/>
    <x v="106"/>
    <x v="1"/>
    <s v="Manual"/>
    <s v="Petrol"/>
    <x v="0"/>
    <x v="85"/>
    <x v="3"/>
  </r>
  <r>
    <x v="3"/>
    <s v="Hatchback"/>
    <x v="107"/>
    <x v="1"/>
    <s v="Manual"/>
    <s v="Petrol"/>
    <x v="0"/>
    <x v="86"/>
    <x v="2"/>
  </r>
  <r>
    <x v="3"/>
    <s v="Hatchback"/>
    <x v="108"/>
    <x v="1"/>
    <s v="Manual"/>
    <s v="Petrol"/>
    <x v="0"/>
    <x v="87"/>
    <x v="3"/>
  </r>
  <r>
    <x v="3"/>
    <s v="Hatchback"/>
    <x v="109"/>
    <x v="1"/>
    <s v="Manual"/>
    <s v="Petrol"/>
    <x v="0"/>
    <x v="88"/>
    <x v="1"/>
  </r>
  <r>
    <x v="3"/>
    <s v="Hatchback"/>
    <x v="110"/>
    <x v="0"/>
    <s v="Manual"/>
    <s v="Petrol"/>
    <x v="2"/>
    <x v="89"/>
    <x v="3"/>
  </r>
  <r>
    <x v="3"/>
    <s v="Hatchback"/>
    <x v="111"/>
    <x v="0"/>
    <s v="Manual"/>
    <s v="Petrol"/>
    <x v="0"/>
    <x v="90"/>
    <x v="0"/>
  </r>
  <r>
    <x v="3"/>
    <s v="Hatchback"/>
    <x v="112"/>
    <x v="1"/>
    <s v="Manual"/>
    <s v="Petrol"/>
    <x v="0"/>
    <x v="91"/>
    <x v="3"/>
  </r>
  <r>
    <x v="2"/>
    <s v="Hatchback"/>
    <x v="113"/>
    <x v="1"/>
    <s v="Manual"/>
    <s v="Petrol"/>
    <x v="0"/>
    <x v="92"/>
    <x v="0"/>
  </r>
  <r>
    <x v="3"/>
    <s v="Hatchback"/>
    <x v="27"/>
    <x v="1"/>
    <s v="Automatic"/>
    <s v="Petrol"/>
    <x v="0"/>
    <x v="92"/>
    <x v="0"/>
  </r>
  <r>
    <x v="3"/>
    <s v="Hatchback"/>
    <x v="114"/>
    <x v="1"/>
    <s v="Manual"/>
    <s v="Petrol"/>
    <x v="0"/>
    <x v="92"/>
    <x v="1"/>
  </r>
  <r>
    <x v="3"/>
    <s v="Hatchback"/>
    <x v="115"/>
    <x v="1"/>
    <s v="Manual"/>
    <s v="Petrol"/>
    <x v="0"/>
    <x v="92"/>
    <x v="2"/>
  </r>
  <r>
    <x v="3"/>
    <s v="Hatchback"/>
    <x v="116"/>
    <x v="1"/>
    <s v="Manual"/>
    <s v="Petrol"/>
    <x v="1"/>
    <x v="92"/>
    <x v="3"/>
  </r>
  <r>
    <x v="4"/>
    <s v="Hatchback"/>
    <x v="117"/>
    <x v="3"/>
    <s v="Automatic"/>
    <s v="Petrol"/>
    <x v="0"/>
    <x v="93"/>
    <x v="3"/>
  </r>
  <r>
    <x v="3"/>
    <s v="Hatchback"/>
    <x v="118"/>
    <x v="1"/>
    <s v="Manual"/>
    <s v="Petrol"/>
    <x v="0"/>
    <x v="94"/>
    <x v="3"/>
  </r>
  <r>
    <x v="4"/>
    <s v="Hatchback"/>
    <x v="119"/>
    <x v="1"/>
    <s v="Manual"/>
    <s v="Petrol"/>
    <x v="1"/>
    <x v="95"/>
    <x v="1"/>
  </r>
  <r>
    <x v="4"/>
    <s v="Hatchback"/>
    <x v="120"/>
    <x v="1"/>
    <s v="Manual"/>
    <s v="Petrol"/>
    <x v="0"/>
    <x v="96"/>
    <x v="1"/>
  </r>
  <r>
    <x v="3"/>
    <s v="Hatchback"/>
    <x v="121"/>
    <x v="1"/>
    <s v="Manual"/>
    <s v="Petrol"/>
    <x v="0"/>
    <x v="97"/>
    <x v="0"/>
  </r>
  <r>
    <x v="3"/>
    <s v="Hatchback"/>
    <x v="122"/>
    <x v="1"/>
    <s v="Manual"/>
    <s v="Petrol"/>
    <x v="0"/>
    <x v="98"/>
    <x v="3"/>
  </r>
  <r>
    <x v="3"/>
    <s v="Hatchback"/>
    <x v="123"/>
    <x v="1"/>
    <s v="Manual"/>
    <s v="Petrol"/>
    <x v="0"/>
    <x v="99"/>
    <x v="2"/>
  </r>
  <r>
    <x v="3"/>
    <s v="Hatchback"/>
    <x v="124"/>
    <x v="1"/>
    <s v="Manual"/>
    <s v="Petrol"/>
    <x v="0"/>
    <x v="100"/>
    <x v="1"/>
  </r>
  <r>
    <x v="4"/>
    <s v="Hatchback"/>
    <x v="125"/>
    <x v="3"/>
    <s v="Manual"/>
    <s v="Petrol"/>
    <x v="1"/>
    <x v="101"/>
    <x v="0"/>
  </r>
  <r>
    <x v="4"/>
    <s v="Hatchback"/>
    <x v="126"/>
    <x v="3"/>
    <s v="Automatic"/>
    <s v="Petrol"/>
    <x v="0"/>
    <x v="102"/>
    <x v="1"/>
  </r>
  <r>
    <x v="2"/>
    <s v="Hatchback"/>
    <x v="127"/>
    <x v="1"/>
    <s v="Manual"/>
    <s v="Petrol"/>
    <x v="0"/>
    <x v="103"/>
    <x v="1"/>
  </r>
  <r>
    <x v="3"/>
    <s v="Hatchback"/>
    <x v="128"/>
    <x v="1"/>
    <s v="Manual"/>
    <s v="Petrol"/>
    <x v="0"/>
    <x v="104"/>
    <x v="3"/>
  </r>
  <r>
    <x v="3"/>
    <s v="Hatchback"/>
    <x v="129"/>
    <x v="1"/>
    <s v="Manual"/>
    <s v="Petrol"/>
    <x v="0"/>
    <x v="105"/>
    <x v="2"/>
  </r>
  <r>
    <x v="4"/>
    <s v="Hatchback"/>
    <x v="130"/>
    <x v="3"/>
    <s v="Manual"/>
    <s v="Petrol"/>
    <x v="0"/>
    <x v="106"/>
    <x v="3"/>
  </r>
  <r>
    <x v="4"/>
    <s v="Hatchback"/>
    <x v="131"/>
    <x v="3"/>
    <s v="Automatic"/>
    <s v="Petrol"/>
    <x v="0"/>
    <x v="107"/>
    <x v="1"/>
  </r>
  <r>
    <x v="2"/>
    <s v="Hatchback"/>
    <x v="132"/>
    <x v="1"/>
    <s v="Manual"/>
    <s v="Petrol"/>
    <x v="0"/>
    <x v="107"/>
    <x v="3"/>
  </r>
  <r>
    <x v="5"/>
    <s v="Hatchback"/>
    <x v="133"/>
    <x v="3"/>
    <s v="Automatic"/>
    <s v="Petrol"/>
    <x v="1"/>
    <x v="108"/>
    <x v="0"/>
  </r>
  <r>
    <x v="3"/>
    <s v="Hatchback"/>
    <x v="134"/>
    <x v="1"/>
    <s v="Manual"/>
    <s v="Petrol"/>
    <x v="0"/>
    <x v="109"/>
    <x v="3"/>
  </r>
  <r>
    <x v="3"/>
    <s v="Hatchback"/>
    <x v="135"/>
    <x v="1"/>
    <s v="Manual"/>
    <s v="Petrol"/>
    <x v="0"/>
    <x v="110"/>
    <x v="0"/>
  </r>
  <r>
    <x v="5"/>
    <s v="Hatchback"/>
    <x v="136"/>
    <x v="3"/>
    <s v="Manual"/>
    <s v="Petrol"/>
    <x v="1"/>
    <x v="111"/>
    <x v="0"/>
  </r>
  <r>
    <x v="4"/>
    <s v="Hatchback"/>
    <x v="137"/>
    <x v="3"/>
    <s v="Automatic"/>
    <s v="Petrol"/>
    <x v="1"/>
    <x v="112"/>
    <x v="1"/>
  </r>
  <r>
    <x v="3"/>
    <s v="Hatchback"/>
    <x v="138"/>
    <x v="1"/>
    <s v="Manual"/>
    <s v="Petrol"/>
    <x v="0"/>
    <x v="113"/>
    <x v="2"/>
  </r>
  <r>
    <x v="3"/>
    <s v="Hatchback"/>
    <x v="139"/>
    <x v="1"/>
    <s v="Manual"/>
    <s v="Petrol"/>
    <x v="0"/>
    <x v="113"/>
    <x v="3"/>
  </r>
  <r>
    <x v="3"/>
    <s v="Hatchback"/>
    <x v="140"/>
    <x v="1"/>
    <s v="Manual"/>
    <s v="Petrol"/>
    <x v="1"/>
    <x v="114"/>
    <x v="3"/>
  </r>
  <r>
    <x v="4"/>
    <s v="Hatchback"/>
    <x v="141"/>
    <x v="1"/>
    <s v="Automatic"/>
    <s v="Petrol"/>
    <x v="0"/>
    <x v="115"/>
    <x v="3"/>
  </r>
  <r>
    <x v="5"/>
    <s v="Hatchback"/>
    <x v="142"/>
    <x v="3"/>
    <s v="Automatic"/>
    <s v="Petrol"/>
    <x v="0"/>
    <x v="116"/>
    <x v="1"/>
  </r>
  <r>
    <x v="5"/>
    <s v="Hatchback"/>
    <x v="143"/>
    <x v="4"/>
    <s v="Automatic"/>
    <s v="Diesel"/>
    <x v="0"/>
    <x v="117"/>
    <x v="1"/>
  </r>
  <r>
    <x v="5"/>
    <s v="Hatchback"/>
    <x v="144"/>
    <x v="3"/>
    <s v="Automatic"/>
    <s v="Petrol"/>
    <x v="3"/>
    <x v="117"/>
    <x v="0"/>
  </r>
  <r>
    <x v="5"/>
    <s v="Hatchback"/>
    <x v="145"/>
    <x v="3"/>
    <s v="Manual"/>
    <s v="Petrol"/>
    <x v="0"/>
    <x v="117"/>
    <x v="3"/>
  </r>
  <r>
    <x v="3"/>
    <s v="Hatchback"/>
    <x v="146"/>
    <x v="1"/>
    <s v="Manual"/>
    <s v="Petrol"/>
    <x v="0"/>
    <x v="118"/>
    <x v="2"/>
  </r>
  <r>
    <x v="4"/>
    <s v="Hatchback"/>
    <x v="147"/>
    <x v="4"/>
    <s v="Manual"/>
    <s v="Diesel"/>
    <x v="0"/>
    <x v="119"/>
    <x v="1"/>
  </r>
  <r>
    <x v="4"/>
    <s v="Hatchback"/>
    <x v="148"/>
    <x v="3"/>
    <s v="Automatic"/>
    <s v="Petrol"/>
    <x v="0"/>
    <x v="120"/>
    <x v="0"/>
  </r>
  <r>
    <x v="5"/>
    <s v="Hatchback"/>
    <x v="149"/>
    <x v="3"/>
    <s v="Automatic"/>
    <s v="Petrol"/>
    <x v="1"/>
    <x v="121"/>
    <x v="1"/>
  </r>
  <r>
    <x v="4"/>
    <s v="Hatchback"/>
    <x v="150"/>
    <x v="3"/>
    <s v="Automatic"/>
    <s v="Petrol"/>
    <x v="2"/>
    <x v="122"/>
    <x v="1"/>
  </r>
  <r>
    <x v="3"/>
    <s v="Hatchback"/>
    <x v="151"/>
    <x v="1"/>
    <s v="Manual"/>
    <s v="Petrol"/>
    <x v="0"/>
    <x v="123"/>
    <x v="3"/>
  </r>
  <r>
    <x v="3"/>
    <s v="Hatchback"/>
    <x v="152"/>
    <x v="1"/>
    <s v="Manual"/>
    <s v="Petrol"/>
    <x v="0"/>
    <x v="124"/>
    <x v="2"/>
  </r>
  <r>
    <x v="3"/>
    <s v="Hatchback"/>
    <x v="153"/>
    <x v="1"/>
    <s v="Manual"/>
    <s v="Petrol"/>
    <x v="1"/>
    <x v="125"/>
    <x v="3"/>
  </r>
  <r>
    <x v="2"/>
    <s v="Hatchback"/>
    <x v="154"/>
    <x v="1"/>
    <s v="Manual"/>
    <s v="Petrol"/>
    <x v="0"/>
    <x v="126"/>
    <x v="1"/>
  </r>
  <r>
    <x v="3"/>
    <s v="Hatchback"/>
    <x v="155"/>
    <x v="1"/>
    <s v="Manual"/>
    <s v="Petrol"/>
    <x v="0"/>
    <x v="127"/>
    <x v="3"/>
  </r>
  <r>
    <x v="4"/>
    <s v="Hatchback"/>
    <x v="156"/>
    <x v="4"/>
    <s v="Manual"/>
    <s v="Diesel"/>
    <x v="0"/>
    <x v="128"/>
    <x v="0"/>
  </r>
  <r>
    <x v="6"/>
    <s v="Hatchback"/>
    <x v="157"/>
    <x v="3"/>
    <s v="Manual"/>
    <s v="Petrol"/>
    <x v="1"/>
    <x v="128"/>
    <x v="3"/>
  </r>
  <r>
    <x v="6"/>
    <s v="Hatchback"/>
    <x v="158"/>
    <x v="4"/>
    <s v="Manual"/>
    <s v="Diesel"/>
    <x v="0"/>
    <x v="128"/>
    <x v="0"/>
  </r>
  <r>
    <x v="4"/>
    <s v="Hatchback"/>
    <x v="80"/>
    <x v="3"/>
    <s v="Manual"/>
    <s v="Petrol"/>
    <x v="1"/>
    <x v="128"/>
    <x v="0"/>
  </r>
  <r>
    <x v="6"/>
    <s v="Hatchback"/>
    <x v="159"/>
    <x v="3"/>
    <s v="Manual"/>
    <s v="Petrol"/>
    <x v="0"/>
    <x v="128"/>
    <x v="1"/>
  </r>
  <r>
    <x v="5"/>
    <s v="Hatchback"/>
    <x v="160"/>
    <x v="3"/>
    <s v="Automatic"/>
    <s v="Petrol"/>
    <x v="4"/>
    <x v="129"/>
    <x v="2"/>
  </r>
  <r>
    <x v="6"/>
    <s v="Hatchback"/>
    <x v="161"/>
    <x v="3"/>
    <s v="Manual"/>
    <s v="Petrol"/>
    <x v="2"/>
    <x v="129"/>
    <x v="3"/>
  </r>
  <r>
    <x v="5"/>
    <s v="Hatchback"/>
    <x v="162"/>
    <x v="4"/>
    <s v="Automatic"/>
    <s v="Diesel"/>
    <x v="0"/>
    <x v="130"/>
    <x v="3"/>
  </r>
  <r>
    <x v="4"/>
    <s v="Hatchback"/>
    <x v="163"/>
    <x v="3"/>
    <s v="Automatic"/>
    <s v="Petrol"/>
    <x v="2"/>
    <x v="131"/>
    <x v="3"/>
  </r>
  <r>
    <x v="4"/>
    <s v="Hatchback"/>
    <x v="164"/>
    <x v="3"/>
    <s v="Manual"/>
    <s v="Petrol"/>
    <x v="2"/>
    <x v="132"/>
    <x v="1"/>
  </r>
  <r>
    <x v="4"/>
    <s v="Hatchback"/>
    <x v="165"/>
    <x v="1"/>
    <s v="Manual"/>
    <s v="Petrol"/>
    <x v="1"/>
    <x v="133"/>
    <x v="1"/>
  </r>
  <r>
    <x v="4"/>
    <s v="Hatchback"/>
    <x v="166"/>
    <x v="3"/>
    <s v="Manual"/>
    <s v="Petrol"/>
    <x v="1"/>
    <x v="134"/>
    <x v="0"/>
  </r>
  <r>
    <x v="3"/>
    <s v="Hatchback"/>
    <x v="167"/>
    <x v="1"/>
    <s v="Manual"/>
    <s v="Petrol"/>
    <x v="0"/>
    <x v="135"/>
    <x v="3"/>
  </r>
  <r>
    <x v="5"/>
    <s v="Hatchback"/>
    <x v="115"/>
    <x v="3"/>
    <s v="Manual"/>
    <s v="Petrol"/>
    <x v="0"/>
    <x v="136"/>
    <x v="2"/>
  </r>
  <r>
    <x v="5"/>
    <s v="Hatchback"/>
    <x v="168"/>
    <x v="4"/>
    <s v="Manual"/>
    <s v="Diesel"/>
    <x v="2"/>
    <x v="137"/>
    <x v="1"/>
  </r>
  <r>
    <x v="6"/>
    <s v="Hatchback"/>
    <x v="169"/>
    <x v="3"/>
    <s v="Automatic"/>
    <s v="Petrol"/>
    <x v="0"/>
    <x v="137"/>
    <x v="0"/>
  </r>
  <r>
    <x v="4"/>
    <s v="Hatchback"/>
    <x v="170"/>
    <x v="3"/>
    <s v="Manual"/>
    <s v="Petrol"/>
    <x v="2"/>
    <x v="138"/>
    <x v="1"/>
  </r>
  <r>
    <x v="7"/>
    <s v="Hatchback"/>
    <x v="171"/>
    <x v="3"/>
    <s v="Automatic"/>
    <s v="Petrol"/>
    <x v="0"/>
    <x v="138"/>
    <x v="1"/>
  </r>
  <r>
    <x v="6"/>
    <s v="Hatchback"/>
    <x v="172"/>
    <x v="3"/>
    <s v="Automatic"/>
    <s v="Petrol"/>
    <x v="1"/>
    <x v="138"/>
    <x v="3"/>
  </r>
  <r>
    <x v="4"/>
    <s v="Hatchback"/>
    <x v="173"/>
    <x v="3"/>
    <s v="Manual"/>
    <s v="Petrol"/>
    <x v="0"/>
    <x v="139"/>
    <x v="2"/>
  </r>
  <r>
    <x v="5"/>
    <s v="Hatchback"/>
    <x v="174"/>
    <x v="3"/>
    <s v="Automatic"/>
    <s v="Petrol"/>
    <x v="0"/>
    <x v="140"/>
    <x v="3"/>
  </r>
  <r>
    <x v="4"/>
    <s v="Hatchback"/>
    <x v="175"/>
    <x v="4"/>
    <s v="Manual"/>
    <s v="Diesel"/>
    <x v="1"/>
    <x v="140"/>
    <x v="1"/>
  </r>
  <r>
    <x v="4"/>
    <s v="Hatchback"/>
    <x v="176"/>
    <x v="1"/>
    <s v="Manual"/>
    <s v="Petrol"/>
    <x v="0"/>
    <x v="140"/>
    <x v="3"/>
  </r>
  <r>
    <x v="5"/>
    <s v="Hatchback"/>
    <x v="177"/>
    <x v="3"/>
    <s v="Automatic"/>
    <s v="Petrol"/>
    <x v="2"/>
    <x v="141"/>
    <x v="0"/>
  </r>
  <r>
    <x v="4"/>
    <s v="Hatchback"/>
    <x v="178"/>
    <x v="3"/>
    <s v="Automatic"/>
    <s v="Petrol"/>
    <x v="0"/>
    <x v="142"/>
    <x v="3"/>
  </r>
  <r>
    <x v="5"/>
    <s v="Hatchback"/>
    <x v="179"/>
    <x v="4"/>
    <s v="Manual"/>
    <s v="Diesel"/>
    <x v="0"/>
    <x v="143"/>
    <x v="0"/>
  </r>
  <r>
    <x v="6"/>
    <s v="Hatchback"/>
    <x v="180"/>
    <x v="3"/>
    <s v="Automatic"/>
    <s v="Petrol"/>
    <x v="1"/>
    <x v="144"/>
    <x v="0"/>
  </r>
  <r>
    <x v="3"/>
    <s v="Hatchback"/>
    <x v="181"/>
    <x v="1"/>
    <s v="Manual"/>
    <s v="Petrol"/>
    <x v="0"/>
    <x v="145"/>
    <x v="1"/>
  </r>
  <r>
    <x v="4"/>
    <s v="Hatchback"/>
    <x v="182"/>
    <x v="1"/>
    <s v="Manual"/>
    <s v="Petrol"/>
    <x v="1"/>
    <x v="146"/>
    <x v="2"/>
  </r>
  <r>
    <x v="5"/>
    <s v="Hatchback"/>
    <x v="79"/>
    <x v="3"/>
    <s v="Manual"/>
    <s v="Petrol"/>
    <x v="1"/>
    <x v="147"/>
    <x v="3"/>
  </r>
  <r>
    <x v="4"/>
    <s v="Hatchback"/>
    <x v="74"/>
    <x v="1"/>
    <s v="Automatic"/>
    <s v="Petrol"/>
    <x v="4"/>
    <x v="148"/>
    <x v="3"/>
  </r>
  <r>
    <x v="4"/>
    <s v="Hatchback"/>
    <x v="183"/>
    <x v="3"/>
    <s v="Automatic"/>
    <s v="Petrol"/>
    <x v="1"/>
    <x v="149"/>
    <x v="3"/>
  </r>
  <r>
    <x v="5"/>
    <s v="Hatchback"/>
    <x v="184"/>
    <x v="3"/>
    <s v="Manual"/>
    <s v="Petrol"/>
    <x v="1"/>
    <x v="150"/>
    <x v="1"/>
  </r>
  <r>
    <x v="4"/>
    <s v="Hatchback"/>
    <x v="185"/>
    <x v="3"/>
    <s v="Manual"/>
    <s v="Petrol"/>
    <x v="0"/>
    <x v="151"/>
    <x v="1"/>
  </r>
  <r>
    <x v="4"/>
    <s v="Hatchback"/>
    <x v="186"/>
    <x v="3"/>
    <s v="Automatic"/>
    <s v="Petrol"/>
    <x v="0"/>
    <x v="152"/>
    <x v="0"/>
  </r>
  <r>
    <x v="4"/>
    <s v="Hatchback"/>
    <x v="187"/>
    <x v="3"/>
    <s v="Manual"/>
    <s v="Petrol"/>
    <x v="1"/>
    <x v="153"/>
    <x v="3"/>
  </r>
  <r>
    <x v="8"/>
    <s v="Hatchback"/>
    <x v="188"/>
    <x v="3"/>
    <s v="Manual"/>
    <s v="Petrol"/>
    <x v="0"/>
    <x v="154"/>
    <x v="2"/>
  </r>
  <r>
    <x v="5"/>
    <s v="Hatchback"/>
    <x v="189"/>
    <x v="4"/>
    <s v="Manual"/>
    <s v="Diesel"/>
    <x v="1"/>
    <x v="154"/>
    <x v="1"/>
  </r>
  <r>
    <x v="5"/>
    <s v="Hatchback"/>
    <x v="190"/>
    <x v="4"/>
    <s v="Manual"/>
    <s v="Diesel"/>
    <x v="1"/>
    <x v="155"/>
    <x v="0"/>
  </r>
  <r>
    <x v="4"/>
    <s v="Hatchback"/>
    <x v="191"/>
    <x v="3"/>
    <s v="Manual"/>
    <s v="Petrol"/>
    <x v="1"/>
    <x v="156"/>
    <x v="1"/>
  </r>
  <r>
    <x v="4"/>
    <s v="Hatchback"/>
    <x v="192"/>
    <x v="1"/>
    <s v="Manual"/>
    <s v="Petrol"/>
    <x v="0"/>
    <x v="157"/>
    <x v="1"/>
  </r>
  <r>
    <x v="5"/>
    <s v="Hatchback"/>
    <x v="193"/>
    <x v="4"/>
    <s v="Manual"/>
    <s v="Diesel"/>
    <x v="1"/>
    <x v="158"/>
    <x v="3"/>
  </r>
  <r>
    <x v="5"/>
    <s v="Hatchback"/>
    <x v="194"/>
    <x v="4"/>
    <s v="Manual"/>
    <s v="Diesel"/>
    <x v="0"/>
    <x v="159"/>
    <x v="2"/>
  </r>
  <r>
    <x v="6"/>
    <s v="Hatchback"/>
    <x v="195"/>
    <x v="3"/>
    <s v="Manual"/>
    <s v="Petrol"/>
    <x v="1"/>
    <x v="160"/>
    <x v="3"/>
  </r>
  <r>
    <x v="5"/>
    <s v="Hatchback"/>
    <x v="125"/>
    <x v="3"/>
    <s v="Manual"/>
    <s v="Petrol"/>
    <x v="0"/>
    <x v="161"/>
    <x v="1"/>
  </r>
  <r>
    <x v="4"/>
    <s v="Hatchback"/>
    <x v="196"/>
    <x v="3"/>
    <s v="Automatic"/>
    <s v="Petrol"/>
    <x v="2"/>
    <x v="162"/>
    <x v="3"/>
  </r>
  <r>
    <x v="5"/>
    <s v="Hatchback"/>
    <x v="197"/>
    <x v="3"/>
    <s v="Manual"/>
    <s v="Petrol"/>
    <x v="1"/>
    <x v="163"/>
    <x v="0"/>
  </r>
  <r>
    <x v="6"/>
    <s v="Hatchback"/>
    <x v="198"/>
    <x v="3"/>
    <s v="Manual"/>
    <s v="Petrol"/>
    <x v="0"/>
    <x v="164"/>
    <x v="3"/>
  </r>
  <r>
    <x v="5"/>
    <s v="Hatchback"/>
    <x v="199"/>
    <x v="3"/>
    <s v="Manual"/>
    <s v="Petrol"/>
    <x v="2"/>
    <x v="165"/>
    <x v="0"/>
  </r>
  <r>
    <x v="4"/>
    <s v="Hatchback"/>
    <x v="200"/>
    <x v="3"/>
    <s v="Manual"/>
    <s v="Petrol"/>
    <x v="1"/>
    <x v="166"/>
    <x v="0"/>
  </r>
  <r>
    <x v="6"/>
    <s v="Hatchback"/>
    <x v="136"/>
    <x v="3"/>
    <s v="Automatic"/>
    <s v="Petrol"/>
    <x v="1"/>
    <x v="166"/>
    <x v="1"/>
  </r>
  <r>
    <x v="5"/>
    <s v="Hatchback"/>
    <x v="201"/>
    <x v="3"/>
    <s v="Manual"/>
    <s v="Petrol"/>
    <x v="0"/>
    <x v="167"/>
    <x v="2"/>
  </r>
  <r>
    <x v="4"/>
    <s v="Hatchback"/>
    <x v="202"/>
    <x v="3"/>
    <s v="Manual"/>
    <s v="Petrol"/>
    <x v="0"/>
    <x v="168"/>
    <x v="3"/>
  </r>
  <r>
    <x v="8"/>
    <s v="Hatchback"/>
    <x v="203"/>
    <x v="3"/>
    <s v="Automatic"/>
    <s v="Petrol"/>
    <x v="4"/>
    <x v="169"/>
    <x v="3"/>
  </r>
  <r>
    <x v="8"/>
    <s v="Hatchback"/>
    <x v="168"/>
    <x v="3"/>
    <s v="Automatic"/>
    <s v="Petrol"/>
    <x v="1"/>
    <x v="170"/>
    <x v="3"/>
  </r>
  <r>
    <x v="8"/>
    <s v="Hatchback"/>
    <x v="204"/>
    <x v="3"/>
    <s v="Automatic"/>
    <s v="Petrol"/>
    <x v="1"/>
    <x v="171"/>
    <x v="1"/>
  </r>
  <r>
    <x v="5"/>
    <s v="Hatchback"/>
    <x v="205"/>
    <x v="3"/>
    <s v="Manual"/>
    <s v="Petrol"/>
    <x v="2"/>
    <x v="172"/>
    <x v="1"/>
  </r>
  <r>
    <x v="4"/>
    <s v="Hatchback"/>
    <x v="165"/>
    <x v="3"/>
    <s v="Manual"/>
    <s v="Petrol"/>
    <x v="1"/>
    <x v="173"/>
    <x v="0"/>
  </r>
  <r>
    <x v="5"/>
    <s v="Hatchback"/>
    <x v="206"/>
    <x v="3"/>
    <s v="Manual"/>
    <s v="Petrol"/>
    <x v="0"/>
    <x v="174"/>
    <x v="3"/>
  </r>
  <r>
    <x v="6"/>
    <s v="Hatchback"/>
    <x v="207"/>
    <x v="3"/>
    <s v="Manual"/>
    <s v="Petrol"/>
    <x v="1"/>
    <x v="174"/>
    <x v="2"/>
  </r>
  <r>
    <x v="8"/>
    <s v="Hatchback"/>
    <x v="208"/>
    <x v="3"/>
    <s v="Automatic"/>
    <s v="Petrol"/>
    <x v="1"/>
    <x v="174"/>
    <x v="1"/>
  </r>
  <r>
    <x v="5"/>
    <s v="Hatchback"/>
    <x v="209"/>
    <x v="3"/>
    <s v="Manual"/>
    <s v="Petrol"/>
    <x v="0"/>
    <x v="175"/>
    <x v="0"/>
  </r>
  <r>
    <x v="7"/>
    <s v="Hatchback"/>
    <x v="210"/>
    <x v="3"/>
    <s v="Manual"/>
    <s v="Petrol"/>
    <x v="1"/>
    <x v="176"/>
    <x v="1"/>
  </r>
  <r>
    <x v="4"/>
    <s v="Hatchback"/>
    <x v="211"/>
    <x v="4"/>
    <s v="Automatic"/>
    <s v="Diesel"/>
    <x v="0"/>
    <x v="177"/>
    <x v="1"/>
  </r>
  <r>
    <x v="4"/>
    <s v="Hatchback"/>
    <x v="212"/>
    <x v="3"/>
    <s v="Manual"/>
    <s v="Petrol"/>
    <x v="0"/>
    <x v="178"/>
    <x v="3"/>
  </r>
  <r>
    <x v="6"/>
    <s v="Hatchback"/>
    <x v="79"/>
    <x v="1"/>
    <s v="Automatic"/>
    <s v="Petrol"/>
    <x v="1"/>
    <x v="179"/>
    <x v="2"/>
  </r>
  <r>
    <x v="5"/>
    <s v="Hatchback"/>
    <x v="213"/>
    <x v="3"/>
    <s v="Manual"/>
    <s v="Petrol"/>
    <x v="1"/>
    <x v="180"/>
    <x v="3"/>
  </r>
  <r>
    <x v="7"/>
    <s v="Hatchback"/>
    <x v="74"/>
    <x v="3"/>
    <s v="Manual"/>
    <s v="Petrol"/>
    <x v="1"/>
    <x v="181"/>
    <x v="1"/>
  </r>
  <r>
    <x v="4"/>
    <s v="Hatchback"/>
    <x v="133"/>
    <x v="3"/>
    <s v="Manual"/>
    <s v="Petrol"/>
    <x v="0"/>
    <x v="182"/>
    <x v="3"/>
  </r>
  <r>
    <x v="6"/>
    <s v="Hatchback"/>
    <x v="214"/>
    <x v="1"/>
    <s v="Manual"/>
    <s v="Petrol"/>
    <x v="2"/>
    <x v="183"/>
    <x v="0"/>
  </r>
  <r>
    <x v="6"/>
    <s v="Hatchback"/>
    <x v="215"/>
    <x v="3"/>
    <s v="Manual"/>
    <s v="Petrol"/>
    <x v="2"/>
    <x v="183"/>
    <x v="3"/>
  </r>
  <r>
    <x v="8"/>
    <s v="Hatchback"/>
    <x v="216"/>
    <x v="3"/>
    <s v="Manual"/>
    <s v="Petrol"/>
    <x v="1"/>
    <x v="184"/>
    <x v="0"/>
  </r>
  <r>
    <x v="5"/>
    <s v="Hatchback"/>
    <x v="168"/>
    <x v="1"/>
    <s v="Manual"/>
    <s v="Petrol"/>
    <x v="1"/>
    <x v="185"/>
    <x v="0"/>
  </r>
  <r>
    <x v="5"/>
    <s v="Hatchback"/>
    <x v="217"/>
    <x v="4"/>
    <s v="Manual"/>
    <s v="Diesel"/>
    <x v="1"/>
    <x v="186"/>
    <x v="1"/>
  </r>
  <r>
    <x v="4"/>
    <s v="Hatchback"/>
    <x v="218"/>
    <x v="3"/>
    <s v="Manual"/>
    <s v="Petrol"/>
    <x v="1"/>
    <x v="186"/>
    <x v="2"/>
  </r>
  <r>
    <x v="5"/>
    <s v="Hatchback"/>
    <x v="219"/>
    <x v="1"/>
    <s v="Manual"/>
    <s v="Petrol"/>
    <x v="1"/>
    <x v="187"/>
    <x v="3"/>
  </r>
  <r>
    <x v="7"/>
    <s v="Hatchback"/>
    <x v="220"/>
    <x v="3"/>
    <s v="Automatic"/>
    <s v="Petrol"/>
    <x v="1"/>
    <x v="188"/>
    <x v="3"/>
  </r>
  <r>
    <x v="8"/>
    <s v="Hatchback"/>
    <x v="42"/>
    <x v="3"/>
    <s v="Automatic"/>
    <s v="Petrol"/>
    <x v="1"/>
    <x v="188"/>
    <x v="3"/>
  </r>
  <r>
    <x v="7"/>
    <s v="Hatchback"/>
    <x v="221"/>
    <x v="3"/>
    <s v="Automatic"/>
    <s v="Petrol"/>
    <x v="1"/>
    <x v="189"/>
    <x v="1"/>
  </r>
  <r>
    <x v="8"/>
    <s v="Hatchback"/>
    <x v="27"/>
    <x v="3"/>
    <s v="Manual"/>
    <s v="Petrol"/>
    <x v="1"/>
    <x v="189"/>
    <x v="1"/>
  </r>
  <r>
    <x v="6"/>
    <s v="Hatchback"/>
    <x v="222"/>
    <x v="1"/>
    <s v="Automatic"/>
    <s v="Petrol"/>
    <x v="0"/>
    <x v="189"/>
    <x v="0"/>
  </r>
  <r>
    <x v="8"/>
    <s v="Hatchback"/>
    <x v="223"/>
    <x v="1"/>
    <s v="Automatic"/>
    <s v="Petrol"/>
    <x v="2"/>
    <x v="190"/>
    <x v="3"/>
  </r>
  <r>
    <x v="5"/>
    <s v="Hatchback"/>
    <x v="224"/>
    <x v="4"/>
    <s v="Manual"/>
    <s v="Diesel"/>
    <x v="1"/>
    <x v="191"/>
    <x v="2"/>
  </r>
  <r>
    <x v="6"/>
    <s v="Hatchback"/>
    <x v="225"/>
    <x v="4"/>
    <s v="Manual"/>
    <s v="Diesel"/>
    <x v="1"/>
    <x v="191"/>
    <x v="1"/>
  </r>
  <r>
    <x v="4"/>
    <s v="Hatchback"/>
    <x v="226"/>
    <x v="3"/>
    <s v="Manual"/>
    <s v="Petrol"/>
    <x v="0"/>
    <x v="192"/>
    <x v="0"/>
  </r>
  <r>
    <x v="4"/>
    <s v="Hatchback"/>
    <x v="227"/>
    <x v="1"/>
    <s v="Manual"/>
    <s v="Petrol"/>
    <x v="1"/>
    <x v="192"/>
    <x v="1"/>
  </r>
  <r>
    <x v="5"/>
    <s v="Hatchback"/>
    <x v="228"/>
    <x v="3"/>
    <s v="Manual"/>
    <s v="Petrol"/>
    <x v="1"/>
    <x v="192"/>
    <x v="1"/>
  </r>
  <r>
    <x v="8"/>
    <s v="Hatchback"/>
    <x v="229"/>
    <x v="3"/>
    <s v="Manual"/>
    <s v="Petrol"/>
    <x v="1"/>
    <x v="193"/>
    <x v="3"/>
  </r>
  <r>
    <x v="6"/>
    <s v="Hatchback"/>
    <x v="230"/>
    <x v="3"/>
    <s v="Manual"/>
    <s v="Petrol"/>
    <x v="2"/>
    <x v="194"/>
    <x v="2"/>
  </r>
  <r>
    <x v="6"/>
    <s v="Hatchback"/>
    <x v="231"/>
    <x v="4"/>
    <s v="Manual"/>
    <s v="Diesel"/>
    <x v="1"/>
    <x v="195"/>
    <x v="3"/>
  </r>
  <r>
    <x v="8"/>
    <s v="Hatchback"/>
    <x v="136"/>
    <x v="3"/>
    <s v="Manual"/>
    <s v="Petrol"/>
    <x v="1"/>
    <x v="196"/>
    <x v="1"/>
  </r>
  <r>
    <x v="7"/>
    <s v="Hatchback"/>
    <x v="232"/>
    <x v="3"/>
    <s v="Automatic"/>
    <s v="Petrol"/>
    <x v="2"/>
    <x v="197"/>
    <x v="3"/>
  </r>
  <r>
    <x v="6"/>
    <s v="Hatchback"/>
    <x v="233"/>
    <x v="3"/>
    <s v="Manual"/>
    <s v="Petrol"/>
    <x v="1"/>
    <x v="198"/>
    <x v="0"/>
  </r>
  <r>
    <x v="4"/>
    <s v="Hatchback"/>
    <x v="234"/>
    <x v="1"/>
    <s v="Manual"/>
    <s v="Petrol"/>
    <x v="2"/>
    <x v="198"/>
    <x v="3"/>
  </r>
  <r>
    <x v="5"/>
    <s v="Hatchback"/>
    <x v="235"/>
    <x v="3"/>
    <s v="Manual"/>
    <s v="Petrol"/>
    <x v="1"/>
    <x v="198"/>
    <x v="0"/>
  </r>
  <r>
    <x v="6"/>
    <s v="Hatchback"/>
    <x v="136"/>
    <x v="3"/>
    <s v="Manual"/>
    <s v="Petrol"/>
    <x v="1"/>
    <x v="199"/>
    <x v="0"/>
  </r>
  <r>
    <x v="4"/>
    <s v="Hatchback"/>
    <x v="236"/>
    <x v="3"/>
    <s v="Manual"/>
    <s v="Petrol"/>
    <x v="0"/>
    <x v="199"/>
    <x v="1"/>
  </r>
  <r>
    <x v="6"/>
    <s v="Hatchback"/>
    <x v="237"/>
    <x v="3"/>
    <s v="Manual"/>
    <s v="Petrol"/>
    <x v="0"/>
    <x v="200"/>
    <x v="2"/>
  </r>
  <r>
    <x v="6"/>
    <s v="Hatchback"/>
    <x v="238"/>
    <x v="1"/>
    <s v="Manual"/>
    <s v="Petrol"/>
    <x v="1"/>
    <x v="201"/>
    <x v="3"/>
  </r>
  <r>
    <x v="4"/>
    <s v="Hatchback"/>
    <x v="239"/>
    <x v="3"/>
    <s v="Manual"/>
    <s v="Petrol"/>
    <x v="1"/>
    <x v="201"/>
    <x v="3"/>
  </r>
  <r>
    <x v="7"/>
    <s v="Hatchback"/>
    <x v="240"/>
    <x v="3"/>
    <s v="Automatic"/>
    <s v="Petrol"/>
    <x v="0"/>
    <x v="201"/>
    <x v="3"/>
  </r>
  <r>
    <x v="5"/>
    <s v="Hatchback"/>
    <x v="241"/>
    <x v="3"/>
    <s v="Manual"/>
    <s v="Petrol"/>
    <x v="1"/>
    <x v="201"/>
    <x v="1"/>
  </r>
  <r>
    <x v="5"/>
    <s v="Hatchback"/>
    <x v="242"/>
    <x v="4"/>
    <s v="Manual"/>
    <s v="Diesel"/>
    <x v="0"/>
    <x v="202"/>
    <x v="1"/>
  </r>
  <r>
    <x v="8"/>
    <s v="Hatchback"/>
    <x v="243"/>
    <x v="3"/>
    <s v="Manual"/>
    <s v="Petrol"/>
    <x v="0"/>
    <x v="203"/>
    <x v="0"/>
  </r>
  <r>
    <x v="8"/>
    <s v="Hatchback"/>
    <x v="244"/>
    <x v="4"/>
    <s v="Automatic"/>
    <s v="Diesel"/>
    <x v="0"/>
    <x v="203"/>
    <x v="3"/>
  </r>
  <r>
    <x v="5"/>
    <s v="Hatchback"/>
    <x v="245"/>
    <x v="3"/>
    <s v="Manual"/>
    <s v="Petrol"/>
    <x v="1"/>
    <x v="203"/>
    <x v="2"/>
  </r>
  <r>
    <x v="4"/>
    <s v="Hatchback"/>
    <x v="246"/>
    <x v="1"/>
    <s v="Manual"/>
    <s v="Petrol"/>
    <x v="1"/>
    <x v="204"/>
    <x v="1"/>
  </r>
  <r>
    <x v="6"/>
    <s v="Hatchback"/>
    <x v="247"/>
    <x v="3"/>
    <s v="Manual"/>
    <s v="Petrol"/>
    <x v="1"/>
    <x v="205"/>
    <x v="0"/>
  </r>
  <r>
    <x v="5"/>
    <s v="Hatchback"/>
    <x v="133"/>
    <x v="1"/>
    <s v="Manual"/>
    <s v="Petrol"/>
    <x v="0"/>
    <x v="206"/>
    <x v="1"/>
  </r>
  <r>
    <x v="5"/>
    <s v="Hatchback"/>
    <x v="168"/>
    <x v="3"/>
    <s v="Manual"/>
    <s v="Petrol"/>
    <x v="0"/>
    <x v="207"/>
    <x v="1"/>
  </r>
  <r>
    <x v="6"/>
    <s v="Hatchback"/>
    <x v="248"/>
    <x v="3"/>
    <s v="Manual"/>
    <s v="Petrol"/>
    <x v="1"/>
    <x v="208"/>
    <x v="3"/>
  </r>
  <r>
    <x v="5"/>
    <s v="Hatchback"/>
    <x v="249"/>
    <x v="1"/>
    <s v="Manual"/>
    <s v="Petrol"/>
    <x v="1"/>
    <x v="209"/>
    <x v="2"/>
  </r>
  <r>
    <x v="8"/>
    <s v="Hatchback"/>
    <x v="250"/>
    <x v="3"/>
    <s v="Manual"/>
    <s v="Petrol"/>
    <x v="1"/>
    <x v="210"/>
    <x v="3"/>
  </r>
  <r>
    <x v="8"/>
    <s v="Hatchback"/>
    <x v="251"/>
    <x v="1"/>
    <s v="Automatic"/>
    <s v="Petrol"/>
    <x v="1"/>
    <x v="210"/>
    <x v="1"/>
  </r>
  <r>
    <x v="7"/>
    <s v="Hatchback"/>
    <x v="252"/>
    <x v="3"/>
    <s v="Automatic"/>
    <s v="Petrol"/>
    <x v="2"/>
    <x v="210"/>
    <x v="3"/>
  </r>
  <r>
    <x v="5"/>
    <s v="Hatchback"/>
    <x v="253"/>
    <x v="3"/>
    <s v="Manual"/>
    <s v="Petrol"/>
    <x v="1"/>
    <x v="211"/>
    <x v="0"/>
  </r>
  <r>
    <x v="6"/>
    <s v="Hatchback"/>
    <x v="254"/>
    <x v="3"/>
    <s v="Manual"/>
    <s v="Petrol"/>
    <x v="1"/>
    <x v="212"/>
    <x v="3"/>
  </r>
  <r>
    <x v="7"/>
    <s v="Hatchback"/>
    <x v="255"/>
    <x v="3"/>
    <s v="Manual"/>
    <s v="Petrol"/>
    <x v="4"/>
    <x v="213"/>
    <x v="0"/>
  </r>
  <r>
    <x v="5"/>
    <s v="Hatchback"/>
    <x v="256"/>
    <x v="4"/>
    <s v="Manual"/>
    <s v="Diesel"/>
    <x v="0"/>
    <x v="214"/>
    <x v="0"/>
  </r>
  <r>
    <x v="8"/>
    <s v="Hatchback"/>
    <x v="257"/>
    <x v="3"/>
    <s v="Manual"/>
    <s v="Petrol"/>
    <x v="1"/>
    <x v="215"/>
    <x v="1"/>
  </r>
  <r>
    <x v="6"/>
    <s v="Hatchback"/>
    <x v="258"/>
    <x v="3"/>
    <s v="Manual"/>
    <s v="Petrol"/>
    <x v="1"/>
    <x v="216"/>
    <x v="2"/>
  </r>
  <r>
    <x v="8"/>
    <s v="Hatchback"/>
    <x v="259"/>
    <x v="3"/>
    <s v="Automatic"/>
    <s v="Petrol"/>
    <x v="1"/>
    <x v="217"/>
    <x v="3"/>
  </r>
  <r>
    <x v="6"/>
    <s v="Hatchback"/>
    <x v="260"/>
    <x v="3"/>
    <s v="Manual"/>
    <s v="Petrol"/>
    <x v="1"/>
    <x v="217"/>
    <x v="3"/>
  </r>
  <r>
    <x v="8"/>
    <s v="Hatchback"/>
    <x v="261"/>
    <x v="3"/>
    <s v="Automatic"/>
    <s v="Petrol"/>
    <x v="3"/>
    <x v="218"/>
    <x v="3"/>
  </r>
  <r>
    <x v="7"/>
    <s v="Hatchback"/>
    <x v="262"/>
    <x v="3"/>
    <s v="Manual"/>
    <s v="Petrol"/>
    <x v="0"/>
    <x v="218"/>
    <x v="1"/>
  </r>
  <r>
    <x v="8"/>
    <s v="Hatchback"/>
    <x v="250"/>
    <x v="4"/>
    <s v="Manual"/>
    <s v="Diesel"/>
    <x v="1"/>
    <x v="219"/>
    <x v="1"/>
  </r>
  <r>
    <x v="4"/>
    <s v="Hatchback"/>
    <x v="263"/>
    <x v="3"/>
    <s v="Manual"/>
    <s v="Petrol"/>
    <x v="1"/>
    <x v="219"/>
    <x v="0"/>
  </r>
  <r>
    <x v="8"/>
    <s v="Hatchback"/>
    <x v="264"/>
    <x v="3"/>
    <s v="Manual"/>
    <s v="Petrol"/>
    <x v="1"/>
    <x v="219"/>
    <x v="3"/>
  </r>
  <r>
    <x v="5"/>
    <s v="Hatchback"/>
    <x v="157"/>
    <x v="1"/>
    <s v="Manual"/>
    <s v="Petrol"/>
    <x v="0"/>
    <x v="219"/>
    <x v="2"/>
  </r>
  <r>
    <x v="8"/>
    <s v="Hatchback"/>
    <x v="265"/>
    <x v="3"/>
    <s v="Manual"/>
    <s v="Petrol"/>
    <x v="1"/>
    <x v="220"/>
    <x v="1"/>
  </r>
  <r>
    <x v="6"/>
    <s v="Hatchback"/>
    <x v="266"/>
    <x v="1"/>
    <s v="Manual"/>
    <s v="Petrol"/>
    <x v="1"/>
    <x v="221"/>
    <x v="0"/>
  </r>
  <r>
    <x v="8"/>
    <s v="Hatchback"/>
    <x v="168"/>
    <x v="3"/>
    <s v="Manual"/>
    <s v="Petrol"/>
    <x v="1"/>
    <x v="221"/>
    <x v="1"/>
  </r>
  <r>
    <x v="8"/>
    <s v="Hatchback"/>
    <x v="267"/>
    <x v="3"/>
    <s v="Manual"/>
    <s v="Petrol"/>
    <x v="0"/>
    <x v="221"/>
    <x v="1"/>
  </r>
  <r>
    <x v="7"/>
    <s v="Hatchback"/>
    <x v="268"/>
    <x v="3"/>
    <s v="Automatic"/>
    <s v="Petrol"/>
    <x v="2"/>
    <x v="222"/>
    <x v="3"/>
  </r>
  <r>
    <x v="8"/>
    <s v="Hatchback"/>
    <x v="243"/>
    <x v="4"/>
    <s v="Manual"/>
    <s v="Diesel"/>
    <x v="2"/>
    <x v="223"/>
    <x v="2"/>
  </r>
  <r>
    <x v="6"/>
    <s v="Hatchback"/>
    <x v="269"/>
    <x v="3"/>
    <s v="Manual"/>
    <s v="Petrol"/>
    <x v="4"/>
    <x v="224"/>
    <x v="3"/>
  </r>
  <r>
    <x v="6"/>
    <s v="Hatchback"/>
    <x v="270"/>
    <x v="4"/>
    <s v="Manual"/>
    <s v="Diesel"/>
    <x v="1"/>
    <x v="225"/>
    <x v="1"/>
  </r>
  <r>
    <x v="5"/>
    <s v="Hatchback"/>
    <x v="271"/>
    <x v="4"/>
    <s v="Manual"/>
    <s v="Diesel"/>
    <x v="1"/>
    <x v="226"/>
    <x v="3"/>
  </r>
  <r>
    <x v="6"/>
    <s v="Hatchback"/>
    <x v="272"/>
    <x v="3"/>
    <s v="Manual"/>
    <s v="Petrol"/>
    <x v="4"/>
    <x v="227"/>
    <x v="0"/>
  </r>
  <r>
    <x v="5"/>
    <s v="Hatchback"/>
    <x v="273"/>
    <x v="3"/>
    <s v="Manual"/>
    <s v="Petrol"/>
    <x v="1"/>
    <x v="227"/>
    <x v="3"/>
  </r>
  <r>
    <x v="8"/>
    <s v="Hatchback"/>
    <x v="274"/>
    <x v="4"/>
    <s v="Manual"/>
    <s v="Diesel"/>
    <x v="2"/>
    <x v="228"/>
    <x v="0"/>
  </r>
  <r>
    <x v="7"/>
    <s v="Hatchback"/>
    <x v="275"/>
    <x v="3"/>
    <s v="Manual"/>
    <s v="Petrol"/>
    <x v="0"/>
    <x v="229"/>
    <x v="0"/>
  </r>
  <r>
    <x v="6"/>
    <s v="Hatchback"/>
    <x v="276"/>
    <x v="3"/>
    <s v="Manual"/>
    <s v="Petrol"/>
    <x v="0"/>
    <x v="230"/>
    <x v="1"/>
  </r>
  <r>
    <x v="7"/>
    <s v="Hatchback"/>
    <x v="277"/>
    <x v="3"/>
    <s v="Automatic"/>
    <s v="Petrol"/>
    <x v="2"/>
    <x v="231"/>
    <x v="2"/>
  </r>
  <r>
    <x v="7"/>
    <s v="Hatchback"/>
    <x v="278"/>
    <x v="3"/>
    <s v="Manual"/>
    <s v="Petrol"/>
    <x v="4"/>
    <x v="232"/>
    <x v="3"/>
  </r>
  <r>
    <x v="6"/>
    <s v="Hatchback"/>
    <x v="279"/>
    <x v="1"/>
    <s v="Manual"/>
    <s v="Petrol"/>
    <x v="1"/>
    <x v="233"/>
    <x v="3"/>
  </r>
  <r>
    <x v="6"/>
    <s v="Hatchback"/>
    <x v="280"/>
    <x v="3"/>
    <s v="Manual"/>
    <s v="Petrol"/>
    <x v="1"/>
    <x v="233"/>
    <x v="3"/>
  </r>
  <r>
    <x v="8"/>
    <s v="Hatchback"/>
    <x v="281"/>
    <x v="3"/>
    <s v="Automatic"/>
    <s v="Petrol"/>
    <x v="1"/>
    <x v="234"/>
    <x v="1"/>
  </r>
  <r>
    <x v="7"/>
    <s v="Hatchback"/>
    <x v="282"/>
    <x v="2"/>
    <s v="Manual"/>
    <s v="Diesel"/>
    <x v="1"/>
    <x v="235"/>
    <x v="1"/>
  </r>
  <r>
    <x v="5"/>
    <s v="Hatchback"/>
    <x v="283"/>
    <x v="4"/>
    <s v="Manual"/>
    <s v="Diesel"/>
    <x v="1"/>
    <x v="236"/>
    <x v="0"/>
  </r>
  <r>
    <x v="6"/>
    <s v="Hatchback"/>
    <x v="284"/>
    <x v="1"/>
    <s v="Manual"/>
    <s v="Petrol"/>
    <x v="2"/>
    <x v="236"/>
    <x v="3"/>
  </r>
  <r>
    <x v="7"/>
    <s v="Hatchback"/>
    <x v="285"/>
    <x v="3"/>
    <s v="Automatic"/>
    <s v="Petrol"/>
    <x v="5"/>
    <x v="237"/>
    <x v="2"/>
  </r>
  <r>
    <x v="8"/>
    <s v="Hatchback"/>
    <x v="286"/>
    <x v="3"/>
    <s v="Manual"/>
    <s v="Petrol"/>
    <x v="2"/>
    <x v="238"/>
    <x v="1"/>
  </r>
  <r>
    <x v="6"/>
    <s v="Hatchback"/>
    <x v="287"/>
    <x v="4"/>
    <s v="Manual"/>
    <s v="Diesel"/>
    <x v="1"/>
    <x v="239"/>
    <x v="0"/>
  </r>
  <r>
    <x v="5"/>
    <s v="Hatchback"/>
    <x v="288"/>
    <x v="3"/>
    <s v="Manual"/>
    <s v="Petrol"/>
    <x v="0"/>
    <x v="239"/>
    <x v="1"/>
  </r>
  <r>
    <x v="6"/>
    <s v="Hatchback"/>
    <x v="289"/>
    <x v="4"/>
    <s v="Manual"/>
    <s v="Diesel"/>
    <x v="1"/>
    <x v="239"/>
    <x v="1"/>
  </r>
  <r>
    <x v="8"/>
    <s v="Hatchback"/>
    <x v="290"/>
    <x v="3"/>
    <s v="Manual"/>
    <s v="Petrol"/>
    <x v="2"/>
    <x v="239"/>
    <x v="3"/>
  </r>
  <r>
    <x v="7"/>
    <s v="Hatchback"/>
    <x v="291"/>
    <x v="5"/>
    <s v="Manual"/>
    <s v="Petrol"/>
    <x v="2"/>
    <x v="239"/>
    <x v="2"/>
  </r>
  <r>
    <x v="7"/>
    <s v="Hatchback"/>
    <x v="212"/>
    <x v="3"/>
    <s v="Manual"/>
    <s v="Petrol"/>
    <x v="4"/>
    <x v="239"/>
    <x v="3"/>
  </r>
  <r>
    <x v="5"/>
    <s v="Hatchback"/>
    <x v="292"/>
    <x v="1"/>
    <s v="Manual"/>
    <s v="Petrol"/>
    <x v="1"/>
    <x v="239"/>
    <x v="1"/>
  </r>
  <r>
    <x v="7"/>
    <s v="Hatchback"/>
    <x v="293"/>
    <x v="4"/>
    <s v="Manual"/>
    <s v="Diesel"/>
    <x v="4"/>
    <x v="240"/>
    <x v="3"/>
  </r>
  <r>
    <x v="6"/>
    <s v="Hatchback"/>
    <x v="294"/>
    <x v="1"/>
    <s v="Manual"/>
    <s v="Petrol"/>
    <x v="1"/>
    <x v="240"/>
    <x v="0"/>
  </r>
  <r>
    <x v="5"/>
    <s v="Hatchback"/>
    <x v="295"/>
    <x v="4"/>
    <s v="Manual"/>
    <s v="Diesel"/>
    <x v="0"/>
    <x v="240"/>
    <x v="3"/>
  </r>
  <r>
    <x v="4"/>
    <s v="Hatchback"/>
    <x v="296"/>
    <x v="1"/>
    <s v="Manual"/>
    <s v="Petrol"/>
    <x v="0"/>
    <x v="241"/>
    <x v="0"/>
  </r>
  <r>
    <x v="6"/>
    <s v="Hatchback"/>
    <x v="297"/>
    <x v="3"/>
    <s v="Manual"/>
    <s v="Petrol"/>
    <x v="1"/>
    <x v="242"/>
    <x v="0"/>
  </r>
  <r>
    <x v="6"/>
    <s v="Hatchback"/>
    <x v="298"/>
    <x v="1"/>
    <s v="Manual"/>
    <s v="Petrol"/>
    <x v="2"/>
    <x v="243"/>
    <x v="1"/>
  </r>
  <r>
    <x v="7"/>
    <s v="Hatchback"/>
    <x v="156"/>
    <x v="3"/>
    <s v="Automatic"/>
    <s v="Petrol"/>
    <x v="1"/>
    <x v="243"/>
    <x v="2"/>
  </r>
  <r>
    <x v="8"/>
    <s v="Hatchback"/>
    <x v="79"/>
    <x v="3"/>
    <s v="Manual"/>
    <s v="Petrol"/>
    <x v="2"/>
    <x v="244"/>
    <x v="3"/>
  </r>
  <r>
    <x v="8"/>
    <s v="Hatchback"/>
    <x v="299"/>
    <x v="3"/>
    <s v="Manual"/>
    <s v="Petrol"/>
    <x v="1"/>
    <x v="245"/>
    <x v="3"/>
  </r>
  <r>
    <x v="6"/>
    <s v="Hatchback"/>
    <x v="300"/>
    <x v="3"/>
    <s v="Manual"/>
    <s v="Petrol"/>
    <x v="0"/>
    <x v="246"/>
    <x v="3"/>
  </r>
  <r>
    <x v="5"/>
    <s v="Hatchback"/>
    <x v="301"/>
    <x v="1"/>
    <s v="Automatic"/>
    <s v="Petrol"/>
    <x v="1"/>
    <x v="247"/>
    <x v="1"/>
  </r>
  <r>
    <x v="6"/>
    <s v="Hatchback"/>
    <x v="302"/>
    <x v="1"/>
    <s v="Manual"/>
    <s v="Petrol"/>
    <x v="2"/>
    <x v="248"/>
    <x v="1"/>
  </r>
  <r>
    <x v="6"/>
    <s v="Hatchback"/>
    <x v="303"/>
    <x v="4"/>
    <s v="Automatic"/>
    <s v="Diesel"/>
    <x v="0"/>
    <x v="249"/>
    <x v="0"/>
  </r>
  <r>
    <x v="6"/>
    <s v="Hatchback"/>
    <x v="304"/>
    <x v="1"/>
    <s v="Manual"/>
    <s v="Petrol"/>
    <x v="2"/>
    <x v="250"/>
    <x v="3"/>
  </r>
  <r>
    <x v="6"/>
    <s v="Hatchback"/>
    <x v="305"/>
    <x v="1"/>
    <s v="Manual"/>
    <s v="Petrol"/>
    <x v="0"/>
    <x v="251"/>
    <x v="2"/>
  </r>
  <r>
    <x v="7"/>
    <s v="Hatchback"/>
    <x v="306"/>
    <x v="4"/>
    <s v="Manual"/>
    <s v="Diesel"/>
    <x v="1"/>
    <x v="252"/>
    <x v="1"/>
  </r>
  <r>
    <x v="7"/>
    <s v="Hatchback"/>
    <x v="307"/>
    <x v="3"/>
    <s v="Automatic"/>
    <s v="Petrol"/>
    <x v="1"/>
    <x v="253"/>
    <x v="0"/>
  </r>
  <r>
    <x v="5"/>
    <s v="Hatchback"/>
    <x v="308"/>
    <x v="3"/>
    <s v="Manual"/>
    <s v="Petrol"/>
    <x v="0"/>
    <x v="254"/>
    <x v="1"/>
  </r>
  <r>
    <x v="8"/>
    <s v="Hatchback"/>
    <x v="309"/>
    <x v="1"/>
    <s v="Manual"/>
    <s v="Petrol"/>
    <x v="1"/>
    <x v="255"/>
    <x v="1"/>
  </r>
  <r>
    <x v="8"/>
    <s v="Hatchback"/>
    <x v="310"/>
    <x v="4"/>
    <s v="Manual"/>
    <s v="Diesel"/>
    <x v="1"/>
    <x v="256"/>
    <x v="3"/>
  </r>
  <r>
    <x v="8"/>
    <s v="Hatchback"/>
    <x v="189"/>
    <x v="1"/>
    <s v="Manual"/>
    <s v="Petrol"/>
    <x v="1"/>
    <x v="257"/>
    <x v="2"/>
  </r>
  <r>
    <x v="4"/>
    <s v="Hatchback"/>
    <x v="311"/>
    <x v="1"/>
    <s v="Manual"/>
    <s v="Petrol"/>
    <x v="0"/>
    <x v="258"/>
    <x v="3"/>
  </r>
  <r>
    <x v="6"/>
    <s v="Hatchback"/>
    <x v="156"/>
    <x v="1"/>
    <s v="Manual"/>
    <s v="Petrol"/>
    <x v="0"/>
    <x v="258"/>
    <x v="1"/>
  </r>
  <r>
    <x v="5"/>
    <s v="Hatchback"/>
    <x v="312"/>
    <x v="4"/>
    <s v="Manual"/>
    <s v="Diesel"/>
    <x v="0"/>
    <x v="259"/>
    <x v="3"/>
  </r>
  <r>
    <x v="8"/>
    <s v="Hatchback"/>
    <x v="189"/>
    <x v="3"/>
    <s v="Manual"/>
    <s v="Petrol"/>
    <x v="1"/>
    <x v="259"/>
    <x v="0"/>
  </r>
  <r>
    <x v="8"/>
    <s v="Hatchback"/>
    <x v="313"/>
    <x v="1"/>
    <s v="Manual"/>
    <s v="Petrol"/>
    <x v="1"/>
    <x v="259"/>
    <x v="3"/>
  </r>
  <r>
    <x v="6"/>
    <s v="Hatchback"/>
    <x v="314"/>
    <x v="3"/>
    <s v="Manual"/>
    <s v="Petrol"/>
    <x v="0"/>
    <x v="260"/>
    <x v="0"/>
  </r>
  <r>
    <x v="8"/>
    <s v="Hatchback"/>
    <x v="315"/>
    <x v="3"/>
    <s v="Manual"/>
    <s v="Petrol"/>
    <x v="1"/>
    <x v="261"/>
    <x v="0"/>
  </r>
  <r>
    <x v="7"/>
    <s v="Hatchback"/>
    <x v="316"/>
    <x v="3"/>
    <s v="Manual"/>
    <s v="Petrol"/>
    <x v="1"/>
    <x v="262"/>
    <x v="1"/>
  </r>
  <r>
    <x v="8"/>
    <s v="Hatchback"/>
    <x v="317"/>
    <x v="1"/>
    <s v="Manual"/>
    <s v="Petrol"/>
    <x v="0"/>
    <x v="263"/>
    <x v="2"/>
  </r>
  <r>
    <x v="8"/>
    <s v="Hatchback"/>
    <x v="318"/>
    <x v="1"/>
    <s v="Manual"/>
    <s v="Petrol"/>
    <x v="1"/>
    <x v="264"/>
    <x v="3"/>
  </r>
  <r>
    <x v="6"/>
    <s v="Hatchback"/>
    <x v="319"/>
    <x v="1"/>
    <s v="Manual"/>
    <s v="Petrol"/>
    <x v="1"/>
    <x v="265"/>
    <x v="3"/>
  </r>
  <r>
    <x v="6"/>
    <s v="Hatchback"/>
    <x v="164"/>
    <x v="1"/>
    <s v="Manual"/>
    <s v="Petrol"/>
    <x v="1"/>
    <x v="265"/>
    <x v="3"/>
  </r>
  <r>
    <x v="6"/>
    <s v="Hatchback"/>
    <x v="320"/>
    <x v="4"/>
    <s v="Manual"/>
    <s v="Diesel"/>
    <x v="1"/>
    <x v="266"/>
    <x v="1"/>
  </r>
  <r>
    <x v="8"/>
    <s v="Hatchback"/>
    <x v="156"/>
    <x v="1"/>
    <s v="Manual"/>
    <s v="Petrol"/>
    <x v="1"/>
    <x v="267"/>
    <x v="1"/>
  </r>
  <r>
    <x v="8"/>
    <s v="Hatchback"/>
    <x v="321"/>
    <x v="3"/>
    <s v="Manual"/>
    <s v="Petrol"/>
    <x v="1"/>
    <x v="268"/>
    <x v="0"/>
  </r>
  <r>
    <x v="8"/>
    <s v="Hatchback"/>
    <x v="27"/>
    <x v="3"/>
    <s v="Manual"/>
    <s v="Petrol"/>
    <x v="0"/>
    <x v="268"/>
    <x v="3"/>
  </r>
  <r>
    <x v="4"/>
    <s v="Hatchback"/>
    <x v="322"/>
    <x v="4"/>
    <s v="Manual"/>
    <s v="Diesel"/>
    <x v="0"/>
    <x v="269"/>
    <x v="2"/>
  </r>
  <r>
    <x v="7"/>
    <s v="Hatchback"/>
    <x v="323"/>
    <x v="3"/>
    <s v="Manual"/>
    <s v="Petrol"/>
    <x v="1"/>
    <x v="270"/>
    <x v="1"/>
  </r>
  <r>
    <x v="8"/>
    <s v="Hatchback"/>
    <x v="324"/>
    <x v="3"/>
    <s v="Manual"/>
    <s v="Petrol"/>
    <x v="1"/>
    <x v="270"/>
    <x v="0"/>
  </r>
  <r>
    <x v="6"/>
    <s v="Hatchback"/>
    <x v="325"/>
    <x v="1"/>
    <s v="Manual"/>
    <s v="Petrol"/>
    <x v="1"/>
    <x v="270"/>
    <x v="1"/>
  </r>
  <r>
    <x v="8"/>
    <s v="Hatchback"/>
    <x v="326"/>
    <x v="1"/>
    <s v="Manual"/>
    <s v="Petrol"/>
    <x v="1"/>
    <x v="271"/>
    <x v="1"/>
  </r>
  <r>
    <x v="8"/>
    <s v="Hatchback"/>
    <x v="327"/>
    <x v="3"/>
    <s v="Manual"/>
    <s v="Petrol"/>
    <x v="1"/>
    <x v="272"/>
    <x v="3"/>
  </r>
  <r>
    <x v="6"/>
    <s v="Hatchback"/>
    <x v="189"/>
    <x v="3"/>
    <s v="Manual"/>
    <s v="Petrol"/>
    <x v="2"/>
    <x v="272"/>
    <x v="2"/>
  </r>
  <r>
    <x v="8"/>
    <s v="Hatchback"/>
    <x v="328"/>
    <x v="3"/>
    <s v="Manual"/>
    <s v="Petrol"/>
    <x v="1"/>
    <x v="272"/>
    <x v="3"/>
  </r>
  <r>
    <x v="8"/>
    <s v="Hatchback"/>
    <x v="329"/>
    <x v="3"/>
    <s v="Manual"/>
    <s v="Petrol"/>
    <x v="2"/>
    <x v="272"/>
    <x v="1"/>
  </r>
  <r>
    <x v="8"/>
    <s v="Hatchback"/>
    <x v="330"/>
    <x v="3"/>
    <s v="Manual"/>
    <s v="Petrol"/>
    <x v="1"/>
    <x v="273"/>
    <x v="3"/>
  </r>
  <r>
    <x v="8"/>
    <s v="Hatchback"/>
    <x v="242"/>
    <x v="3"/>
    <s v="Manual"/>
    <s v="Petrol"/>
    <x v="1"/>
    <x v="274"/>
    <x v="0"/>
  </r>
  <r>
    <x v="7"/>
    <s v="Hatchback"/>
    <x v="331"/>
    <x v="3"/>
    <s v="Manual"/>
    <s v="Petrol"/>
    <x v="1"/>
    <x v="274"/>
    <x v="3"/>
  </r>
  <r>
    <x v="6"/>
    <s v="Hatchback"/>
    <x v="332"/>
    <x v="4"/>
    <s v="Manual"/>
    <s v="Diesel"/>
    <x v="1"/>
    <x v="274"/>
    <x v="0"/>
  </r>
  <r>
    <x v="8"/>
    <s v="Hatchback"/>
    <x v="333"/>
    <x v="3"/>
    <s v="Manual"/>
    <s v="Petrol"/>
    <x v="1"/>
    <x v="274"/>
    <x v="0"/>
  </r>
  <r>
    <x v="6"/>
    <s v="Hatchback"/>
    <x v="262"/>
    <x v="1"/>
    <s v="Manual"/>
    <s v="Petrol"/>
    <x v="1"/>
    <x v="274"/>
    <x v="1"/>
  </r>
  <r>
    <x v="8"/>
    <s v="Hatchback"/>
    <x v="334"/>
    <x v="4"/>
    <s v="Manual"/>
    <s v="Diesel"/>
    <x v="0"/>
    <x v="275"/>
    <x v="2"/>
  </r>
  <r>
    <x v="5"/>
    <s v="Hatchback"/>
    <x v="335"/>
    <x v="3"/>
    <s v="Manual"/>
    <s v="Petrol"/>
    <x v="2"/>
    <x v="276"/>
    <x v="3"/>
  </r>
  <r>
    <x v="7"/>
    <s v="Hatchback"/>
    <x v="336"/>
    <x v="3"/>
    <s v="Manual"/>
    <s v="Petrol"/>
    <x v="0"/>
    <x v="277"/>
    <x v="3"/>
  </r>
  <r>
    <x v="5"/>
    <s v="Hatchback"/>
    <x v="337"/>
    <x v="1"/>
    <s v="Manual"/>
    <s v="Petrol"/>
    <x v="0"/>
    <x v="278"/>
    <x v="3"/>
  </r>
  <r>
    <x v="6"/>
    <s v="Hatchback"/>
    <x v="338"/>
    <x v="4"/>
    <s v="Manual"/>
    <s v="Diesel"/>
    <x v="1"/>
    <x v="279"/>
    <x v="1"/>
  </r>
  <r>
    <x v="5"/>
    <s v="Hatchback"/>
    <x v="339"/>
    <x v="4"/>
    <s v="Manual"/>
    <s v="Diesel"/>
    <x v="1"/>
    <x v="280"/>
    <x v="1"/>
  </r>
  <r>
    <x v="7"/>
    <s v="Hatchback"/>
    <x v="340"/>
    <x v="4"/>
    <s v="Manual"/>
    <s v="Diesel"/>
    <x v="4"/>
    <x v="281"/>
    <x v="0"/>
  </r>
  <r>
    <x v="8"/>
    <s v="Hatchback"/>
    <x v="178"/>
    <x v="1"/>
    <s v="Manual"/>
    <s v="Petrol"/>
    <x v="4"/>
    <x v="282"/>
    <x v="3"/>
  </r>
  <r>
    <x v="8"/>
    <s v="Hatchback"/>
    <x v="341"/>
    <x v="1"/>
    <s v="Manual"/>
    <s v="Petrol"/>
    <x v="1"/>
    <x v="283"/>
    <x v="2"/>
  </r>
  <r>
    <x v="8"/>
    <s v="Hatchback"/>
    <x v="342"/>
    <x v="4"/>
    <s v="Manual"/>
    <s v="Diesel"/>
    <x v="1"/>
    <x v="284"/>
    <x v="1"/>
  </r>
  <r>
    <x v="8"/>
    <s v="Hatchback"/>
    <x v="343"/>
    <x v="4"/>
    <s v="Manual"/>
    <s v="Diesel"/>
    <x v="1"/>
    <x v="285"/>
    <x v="0"/>
  </r>
  <r>
    <x v="8"/>
    <s v="Hatchback"/>
    <x v="344"/>
    <x v="1"/>
    <s v="Manual"/>
    <s v="Petrol"/>
    <x v="1"/>
    <x v="286"/>
    <x v="1"/>
  </r>
  <r>
    <x v="8"/>
    <s v="Hatchback"/>
    <x v="345"/>
    <x v="3"/>
    <s v="Manual"/>
    <s v="Petrol"/>
    <x v="2"/>
    <x v="287"/>
    <x v="1"/>
  </r>
  <r>
    <x v="5"/>
    <s v="Hatchback"/>
    <x v="346"/>
    <x v="3"/>
    <s v="Manual"/>
    <s v="Petrol"/>
    <x v="1"/>
    <x v="288"/>
    <x v="3"/>
  </r>
  <r>
    <x v="8"/>
    <s v="Hatchback"/>
    <x v="347"/>
    <x v="1"/>
    <s v="Manual"/>
    <s v="Petrol"/>
    <x v="1"/>
    <x v="288"/>
    <x v="2"/>
  </r>
  <r>
    <x v="6"/>
    <s v="Hatchback"/>
    <x v="178"/>
    <x v="3"/>
    <s v="Manual"/>
    <s v="Petrol"/>
    <x v="0"/>
    <x v="289"/>
    <x v="3"/>
  </r>
  <r>
    <x v="8"/>
    <s v="Hatchback"/>
    <x v="250"/>
    <x v="5"/>
    <s v="Manual"/>
    <s v="Petrol"/>
    <x v="1"/>
    <x v="289"/>
    <x v="1"/>
  </r>
  <r>
    <x v="7"/>
    <s v="Hatchback"/>
    <x v="259"/>
    <x v="3"/>
    <s v="Manual"/>
    <s v="Petrol"/>
    <x v="0"/>
    <x v="290"/>
    <x v="3"/>
  </r>
  <r>
    <x v="8"/>
    <s v="Hatchback"/>
    <x v="348"/>
    <x v="4"/>
    <s v="Manual"/>
    <s v="Diesel"/>
    <x v="1"/>
    <x v="291"/>
    <x v="0"/>
  </r>
  <r>
    <x v="7"/>
    <s v="Hatchback"/>
    <x v="349"/>
    <x v="4"/>
    <s v="Manual"/>
    <s v="Diesel"/>
    <x v="1"/>
    <x v="292"/>
    <x v="3"/>
  </r>
  <r>
    <x v="7"/>
    <s v="Hatchback"/>
    <x v="350"/>
    <x v="3"/>
    <s v="Manual"/>
    <s v="Petrol"/>
    <x v="1"/>
    <x v="292"/>
    <x v="0"/>
  </r>
  <r>
    <x v="8"/>
    <s v="Hatchback"/>
    <x v="351"/>
    <x v="3"/>
    <s v="Manual"/>
    <s v="Petrol"/>
    <x v="1"/>
    <x v="293"/>
    <x v="0"/>
  </r>
  <r>
    <x v="7"/>
    <s v="Hatchback"/>
    <x v="352"/>
    <x v="4"/>
    <s v="Manual"/>
    <s v="Diesel"/>
    <x v="2"/>
    <x v="294"/>
    <x v="1"/>
  </r>
  <r>
    <x v="8"/>
    <s v="Hatchback"/>
    <x v="353"/>
    <x v="1"/>
    <s v="Manual"/>
    <s v="Petrol"/>
    <x v="1"/>
    <x v="295"/>
    <x v="2"/>
  </r>
  <r>
    <x v="5"/>
    <s v="Hatchback"/>
    <x v="354"/>
    <x v="3"/>
    <s v="Manual"/>
    <s v="Petrol"/>
    <x v="0"/>
    <x v="295"/>
    <x v="3"/>
  </r>
  <r>
    <x v="8"/>
    <s v="Hatchback"/>
    <x v="355"/>
    <x v="3"/>
    <s v="Manual"/>
    <s v="Petrol"/>
    <x v="1"/>
    <x v="296"/>
    <x v="3"/>
  </r>
  <r>
    <x v="5"/>
    <s v="Hatchback"/>
    <x v="356"/>
    <x v="3"/>
    <s v="Manual"/>
    <s v="Petrol"/>
    <x v="0"/>
    <x v="297"/>
    <x v="3"/>
  </r>
  <r>
    <x v="8"/>
    <s v="Hatchback"/>
    <x v="357"/>
    <x v="4"/>
    <s v="Manual"/>
    <s v="Diesel"/>
    <x v="0"/>
    <x v="297"/>
    <x v="1"/>
  </r>
  <r>
    <x v="7"/>
    <s v="Hatchback"/>
    <x v="358"/>
    <x v="3"/>
    <s v="Manual"/>
    <s v="Petrol"/>
    <x v="1"/>
    <x v="298"/>
    <x v="1"/>
  </r>
  <r>
    <x v="7"/>
    <s v="Hatchback"/>
    <x v="359"/>
    <x v="4"/>
    <s v="Manual"/>
    <s v="Diesel"/>
    <x v="1"/>
    <x v="299"/>
    <x v="0"/>
  </r>
  <r>
    <x v="6"/>
    <s v="Hatchback"/>
    <x v="360"/>
    <x v="3"/>
    <s v="Manual"/>
    <s v="Petrol"/>
    <x v="0"/>
    <x v="299"/>
    <x v="3"/>
  </r>
  <r>
    <x v="6"/>
    <s v="Hatchback"/>
    <x v="361"/>
    <x v="1"/>
    <s v="Manual"/>
    <s v="Petrol"/>
    <x v="1"/>
    <x v="300"/>
    <x v="2"/>
  </r>
  <r>
    <x v="8"/>
    <s v="Hatchback"/>
    <x v="259"/>
    <x v="4"/>
    <s v="Manual"/>
    <s v="Diesel"/>
    <x v="1"/>
    <x v="300"/>
    <x v="1"/>
  </r>
  <r>
    <x v="8"/>
    <s v="Hatchback"/>
    <x v="362"/>
    <x v="1"/>
    <s v="Automatic"/>
    <s v="Petrol"/>
    <x v="0"/>
    <x v="301"/>
    <x v="0"/>
  </r>
  <r>
    <x v="6"/>
    <s v="Hatchback"/>
    <x v="363"/>
    <x v="1"/>
    <s v="Manual"/>
    <s v="Petrol"/>
    <x v="1"/>
    <x v="302"/>
    <x v="1"/>
  </r>
  <r>
    <x v="6"/>
    <s v="Hatchback"/>
    <x v="364"/>
    <x v="4"/>
    <s v="Manual"/>
    <s v="Diesel"/>
    <x v="1"/>
    <x v="303"/>
    <x v="1"/>
  </r>
  <r>
    <x v="8"/>
    <s v="Hatchback"/>
    <x v="365"/>
    <x v="4"/>
    <s v="Manual"/>
    <s v="Diesel"/>
    <x v="1"/>
    <x v="304"/>
    <x v="3"/>
  </r>
  <r>
    <x v="6"/>
    <s v="Hatchback"/>
    <x v="357"/>
    <x v="3"/>
    <s v="Manual"/>
    <s v="Petrol"/>
    <x v="2"/>
    <x v="305"/>
    <x v="2"/>
  </r>
  <r>
    <x v="8"/>
    <s v="Hatchback"/>
    <x v="366"/>
    <x v="4"/>
    <s v="Manual"/>
    <s v="Diesel"/>
    <x v="1"/>
    <x v="305"/>
    <x v="3"/>
  </r>
  <r>
    <x v="8"/>
    <s v="Hatchback"/>
    <x v="367"/>
    <x v="4"/>
    <s v="Manual"/>
    <s v="Diesel"/>
    <x v="1"/>
    <x v="306"/>
    <x v="1"/>
  </r>
  <r>
    <x v="8"/>
    <s v="Hatchback"/>
    <x v="235"/>
    <x v="3"/>
    <s v="Manual"/>
    <s v="Petrol"/>
    <x v="2"/>
    <x v="306"/>
    <x v="3"/>
  </r>
  <r>
    <x v="7"/>
    <s v="Hatchback"/>
    <x v="368"/>
    <x v="4"/>
    <s v="Manual"/>
    <s v="Diesel"/>
    <x v="2"/>
    <x v="307"/>
    <x v="0"/>
  </r>
  <r>
    <x v="8"/>
    <s v="Hatchback"/>
    <x v="369"/>
    <x v="1"/>
    <s v="Manual"/>
    <s v="Petrol"/>
    <x v="1"/>
    <x v="308"/>
    <x v="3"/>
  </r>
  <r>
    <x v="8"/>
    <s v="Hatchback"/>
    <x v="370"/>
    <x v="2"/>
    <s v="Manual"/>
    <s v="Diesel"/>
    <x v="2"/>
    <x v="309"/>
    <x v="0"/>
  </r>
  <r>
    <x v="8"/>
    <s v="Hatchback"/>
    <x v="371"/>
    <x v="3"/>
    <s v="Manual"/>
    <s v="Petrol"/>
    <x v="1"/>
    <x v="310"/>
    <x v="0"/>
  </r>
  <r>
    <x v="7"/>
    <s v="Hatchback"/>
    <x v="372"/>
    <x v="4"/>
    <s v="Manual"/>
    <s v="Diesel"/>
    <x v="2"/>
    <x v="310"/>
    <x v="1"/>
  </r>
  <r>
    <x v="6"/>
    <s v="Hatchback"/>
    <x v="373"/>
    <x v="4"/>
    <s v="Manual"/>
    <s v="Diesel"/>
    <x v="0"/>
    <x v="311"/>
    <x v="2"/>
  </r>
  <r>
    <x v="8"/>
    <s v="Hatchback"/>
    <x v="374"/>
    <x v="4"/>
    <s v="Manual"/>
    <s v="Diesel"/>
    <x v="1"/>
    <x v="312"/>
    <x v="3"/>
  </r>
  <r>
    <x v="7"/>
    <s v="Hatchback"/>
    <x v="375"/>
    <x v="4"/>
    <s v="Manual"/>
    <s v="Diesel"/>
    <x v="0"/>
    <x v="313"/>
    <x v="3"/>
  </r>
  <r>
    <x v="7"/>
    <s v="Hatchback"/>
    <x v="376"/>
    <x v="3"/>
    <s v="Manual"/>
    <s v="Petrol"/>
    <x v="1"/>
    <x v="314"/>
    <x v="3"/>
  </r>
  <r>
    <x v="8"/>
    <s v="Hatchback"/>
    <x v="310"/>
    <x v="3"/>
    <s v="Manual"/>
    <s v="Petrol"/>
    <x v="4"/>
    <x v="314"/>
    <x v="1"/>
  </r>
  <r>
    <x v="8"/>
    <s v="Hatchback"/>
    <x v="178"/>
    <x v="4"/>
    <s v="Manual"/>
    <s v="Diesel"/>
    <x v="4"/>
    <x v="315"/>
    <x v="1"/>
  </r>
  <r>
    <x v="7"/>
    <s v="Hatchback"/>
    <x v="243"/>
    <x v="3"/>
    <s v="Manual"/>
    <s v="Petrol"/>
    <x v="1"/>
    <x v="315"/>
    <x v="0"/>
  </r>
  <r>
    <x v="7"/>
    <s v="Hatchback"/>
    <x v="377"/>
    <x v="4"/>
    <s v="Manual"/>
    <s v="Diesel"/>
    <x v="0"/>
    <x v="316"/>
    <x v="3"/>
  </r>
  <r>
    <x v="8"/>
    <s v="Hatchback"/>
    <x v="378"/>
    <x v="3"/>
    <s v="Manual"/>
    <s v="Petrol"/>
    <x v="1"/>
    <x v="316"/>
    <x v="2"/>
  </r>
  <r>
    <x v="7"/>
    <s v="Hatchback"/>
    <x v="379"/>
    <x v="5"/>
    <s v="Manual"/>
    <s v="Petrol"/>
    <x v="0"/>
    <x v="317"/>
    <x v="1"/>
  </r>
  <r>
    <x v="7"/>
    <s v="Hatchback"/>
    <x v="157"/>
    <x v="3"/>
    <s v="Manual"/>
    <s v="Petrol"/>
    <x v="1"/>
    <x v="318"/>
    <x v="0"/>
  </r>
  <r>
    <x v="8"/>
    <s v="Hatchback"/>
    <x v="380"/>
    <x v="4"/>
    <s v="Manual"/>
    <s v="Diesel"/>
    <x v="0"/>
    <x v="319"/>
    <x v="1"/>
  </r>
  <r>
    <x v="7"/>
    <s v="Hatchback"/>
    <x v="381"/>
    <x v="2"/>
    <s v="Manual"/>
    <s v="Diesel"/>
    <x v="1"/>
    <x v="319"/>
    <x v="1"/>
  </r>
  <r>
    <x v="7"/>
    <s v="Hatchback"/>
    <x v="376"/>
    <x v="3"/>
    <s v="Manual"/>
    <s v="Petrol"/>
    <x v="1"/>
    <x v="319"/>
    <x v="3"/>
  </r>
  <r>
    <x v="7"/>
    <s v="Hatchback"/>
    <x v="157"/>
    <x v="3"/>
    <s v="Manual"/>
    <s v="Petrol"/>
    <x v="0"/>
    <x v="320"/>
    <x v="2"/>
  </r>
  <r>
    <x v="7"/>
    <s v="Hatchback"/>
    <x v="382"/>
    <x v="3"/>
    <s v="Automatic"/>
    <s v="Petrol"/>
    <x v="0"/>
    <x v="321"/>
    <x v="3"/>
  </r>
  <r>
    <x v="8"/>
    <s v="Hatchback"/>
    <x v="383"/>
    <x v="3"/>
    <s v="Manual"/>
    <s v="Petrol"/>
    <x v="1"/>
    <x v="322"/>
    <x v="1"/>
  </r>
  <r>
    <x v="7"/>
    <s v="Hatchback"/>
    <x v="384"/>
    <x v="3"/>
    <s v="Manual"/>
    <s v="Petrol"/>
    <x v="2"/>
    <x v="323"/>
    <x v="3"/>
  </r>
  <r>
    <x v="7"/>
    <s v="Hatchback"/>
    <x v="349"/>
    <x v="3"/>
    <s v="Manual"/>
    <s v="Petrol"/>
    <x v="1"/>
    <x v="324"/>
    <x v="0"/>
  </r>
  <r>
    <x v="8"/>
    <s v="Hatchback"/>
    <x v="385"/>
    <x v="4"/>
    <s v="Manual"/>
    <s v="Diesel"/>
    <x v="6"/>
    <x v="324"/>
    <x v="3"/>
  </r>
  <r>
    <x v="7"/>
    <s v="Hatchback"/>
    <x v="178"/>
    <x v="4"/>
    <s v="Manual"/>
    <s v="Diesel"/>
    <x v="2"/>
    <x v="325"/>
    <x v="0"/>
  </r>
  <r>
    <x v="6"/>
    <s v="Hatchback"/>
    <x v="357"/>
    <x v="1"/>
    <s v="Manual"/>
    <s v="Petrol"/>
    <x v="1"/>
    <x v="325"/>
    <x v="0"/>
  </r>
  <r>
    <x v="8"/>
    <s v="Hatchback"/>
    <x v="386"/>
    <x v="1"/>
    <s v="Manual"/>
    <s v="Petrol"/>
    <x v="1"/>
    <x v="326"/>
    <x v="1"/>
  </r>
  <r>
    <x v="8"/>
    <s v="Hatchback"/>
    <x v="387"/>
    <x v="4"/>
    <s v="Manual"/>
    <s v="Diesel"/>
    <x v="4"/>
    <x v="327"/>
    <x v="2"/>
  </r>
  <r>
    <x v="8"/>
    <s v="Hatchback"/>
    <x v="388"/>
    <x v="1"/>
    <s v="Manual"/>
    <s v="Petrol"/>
    <x v="1"/>
    <x v="328"/>
    <x v="3"/>
  </r>
  <r>
    <x v="8"/>
    <s v="Hatchback"/>
    <x v="389"/>
    <x v="4"/>
    <s v="Manual"/>
    <s v="Diesel"/>
    <x v="1"/>
    <x v="329"/>
    <x v="3"/>
  </r>
  <r>
    <x v="7"/>
    <s v="Hatchback"/>
    <x v="390"/>
    <x v="4"/>
    <s v="Manual"/>
    <s v="Diesel"/>
    <x v="0"/>
    <x v="330"/>
    <x v="3"/>
  </r>
  <r>
    <x v="8"/>
    <s v="Hatchback"/>
    <x v="391"/>
    <x v="4"/>
    <s v="Automatic"/>
    <s v="Diesel"/>
    <x v="1"/>
    <x v="331"/>
    <x v="1"/>
  </r>
  <r>
    <x v="7"/>
    <s v="Hatchback"/>
    <x v="392"/>
    <x v="4"/>
    <s v="Manual"/>
    <s v="Diesel"/>
    <x v="4"/>
    <x v="332"/>
    <x v="1"/>
  </r>
  <r>
    <x v="7"/>
    <s v="Hatchback"/>
    <x v="393"/>
    <x v="4"/>
    <s v="Manual"/>
    <s v="Diesel"/>
    <x v="4"/>
    <x v="333"/>
    <x v="0"/>
  </r>
  <r>
    <x v="7"/>
    <s v="Hatchback"/>
    <x v="394"/>
    <x v="3"/>
    <s v="Manual"/>
    <s v="Petrol"/>
    <x v="0"/>
    <x v="334"/>
    <x v="3"/>
  </r>
  <r>
    <x v="7"/>
    <s v="Hatchback"/>
    <x v="395"/>
    <x v="5"/>
    <s v="Manual"/>
    <s v="Petrol"/>
    <x v="1"/>
    <x v="335"/>
    <x v="2"/>
  </r>
  <r>
    <x v="7"/>
    <s v="Hatchback"/>
    <x v="396"/>
    <x v="4"/>
    <s v="Manual"/>
    <s v="Diesel"/>
    <x v="2"/>
    <x v="336"/>
    <x v="1"/>
  </r>
  <r>
    <x v="7"/>
    <s v="Hatchback"/>
    <x v="397"/>
    <x v="5"/>
    <s v="Manual"/>
    <s v="Petrol"/>
    <x v="1"/>
    <x v="336"/>
    <x v="0"/>
  </r>
  <r>
    <x v="8"/>
    <s v="Hatchback"/>
    <x v="398"/>
    <x v="4"/>
    <s v="Manual"/>
    <s v="Diesel"/>
    <x v="0"/>
    <x v="337"/>
    <x v="1"/>
  </r>
  <r>
    <x v="7"/>
    <s v="Hatchback"/>
    <x v="399"/>
    <x v="4"/>
    <s v="Manual"/>
    <s v="Diesel"/>
    <x v="2"/>
    <x v="338"/>
    <x v="1"/>
  </r>
  <r>
    <x v="7"/>
    <s v="Hatchback"/>
    <x v="400"/>
    <x v="4"/>
    <s v="Manual"/>
    <s v="Diesel"/>
    <x v="2"/>
    <x v="339"/>
    <x v="3"/>
  </r>
  <r>
    <x v="7"/>
    <s v="Hatchback"/>
    <x v="401"/>
    <x v="4"/>
    <s v="Manual"/>
    <s v="Diesel"/>
    <x v="4"/>
    <x v="340"/>
    <x v="2"/>
  </r>
  <r>
    <x v="6"/>
    <s v="Hatchback"/>
    <x v="402"/>
    <x v="1"/>
    <s v="Manual"/>
    <s v="Petrol"/>
    <x v="2"/>
    <x v="341"/>
    <x v="3"/>
  </r>
  <r>
    <x v="8"/>
    <s v="Hatchback"/>
    <x v="403"/>
    <x v="4"/>
    <s v="Manual"/>
    <s v="Diesel"/>
    <x v="0"/>
    <x v="342"/>
    <x v="1"/>
  </r>
  <r>
    <x v="7"/>
    <s v="Hatchback"/>
    <x v="404"/>
    <x v="4"/>
    <s v="Manual"/>
    <s v="Diesel"/>
    <x v="2"/>
    <x v="343"/>
    <x v="3"/>
  </r>
  <r>
    <x v="7"/>
    <s v="Hatchback"/>
    <x v="405"/>
    <x v="4"/>
    <s v="Manual"/>
    <s v="Diesel"/>
    <x v="1"/>
    <x v="344"/>
    <x v="0"/>
  </r>
  <r>
    <x v="7"/>
    <s v="Hatchback"/>
    <x v="348"/>
    <x v="4"/>
    <s v="Manual"/>
    <s v="Diesel"/>
    <x v="2"/>
    <x v="345"/>
    <x v="3"/>
  </r>
  <r>
    <x v="7"/>
    <s v="Hatchback"/>
    <x v="374"/>
    <x v="4"/>
    <s v="Manual"/>
    <s v="Diesel"/>
    <x v="4"/>
    <x v="346"/>
    <x v="0"/>
  </r>
  <r>
    <x v="7"/>
    <s v="Hatchback"/>
    <x v="406"/>
    <x v="4"/>
    <s v="Manual"/>
    <s v="Diesel"/>
    <x v="1"/>
    <x v="346"/>
    <x v="0"/>
  </r>
  <r>
    <x v="7"/>
    <s v="Hatchback"/>
    <x v="407"/>
    <x v="2"/>
    <s v="Manual"/>
    <s v="Diesel"/>
    <x v="1"/>
    <x v="347"/>
    <x v="1"/>
  </r>
  <r>
    <x v="8"/>
    <s v="Hatchback"/>
    <x v="408"/>
    <x v="4"/>
    <s v="Manual"/>
    <s v="Diesel"/>
    <x v="0"/>
    <x v="348"/>
    <x v="2"/>
  </r>
  <r>
    <x v="7"/>
    <s v="Hatchback"/>
    <x v="409"/>
    <x v="5"/>
    <s v="Manual"/>
    <s v="Petrol"/>
    <x v="4"/>
    <x v="349"/>
    <x v="3"/>
  </r>
  <r>
    <x v="7"/>
    <s v="Hatchback"/>
    <x v="410"/>
    <x v="3"/>
    <s v="Manual"/>
    <s v="Petrol"/>
    <x v="1"/>
    <x v="350"/>
    <x v="3"/>
  </r>
  <r>
    <x v="7"/>
    <s v="Hatchback"/>
    <x v="411"/>
    <x v="4"/>
    <s v="Manual"/>
    <s v="Diesel"/>
    <x v="4"/>
    <x v="351"/>
    <x v="3"/>
  </r>
  <r>
    <x v="8"/>
    <s v="Hatchback"/>
    <x v="412"/>
    <x v="4"/>
    <s v="Manual"/>
    <s v="Diesel"/>
    <x v="1"/>
    <x v="352"/>
    <x v="1"/>
  </r>
  <r>
    <x v="7"/>
    <s v="Hatchback"/>
    <x v="413"/>
    <x v="4"/>
    <s v="Manual"/>
    <s v="Diesel"/>
    <x v="1"/>
    <x v="353"/>
    <x v="1"/>
  </r>
  <r>
    <x v="7"/>
    <s v="Hatchback"/>
    <x v="414"/>
    <x v="4"/>
    <s v="Manual"/>
    <s v="Diesel"/>
    <x v="0"/>
    <x v="354"/>
    <x v="0"/>
  </r>
  <r>
    <x v="7"/>
    <s v="Hatchback"/>
    <x v="415"/>
    <x v="4"/>
    <s v="Manual"/>
    <s v="Diesel"/>
    <x v="1"/>
    <x v="355"/>
    <x v="3"/>
  </r>
  <r>
    <x v="9"/>
    <m/>
    <x v="416"/>
    <x v="6"/>
    <m/>
    <m/>
    <x v="7"/>
    <x v="356"/>
    <x v="4"/>
  </r>
  <r>
    <x v="9"/>
    <m/>
    <x v="416"/>
    <x v="6"/>
    <m/>
    <m/>
    <x v="7"/>
    <x v="356"/>
    <x v="4"/>
  </r>
  <r>
    <x v="9"/>
    <m/>
    <x v="416"/>
    <x v="6"/>
    <m/>
    <m/>
    <x v="7"/>
    <x v="35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1">
  <r>
    <x v="0"/>
    <s v="Hatchback"/>
    <x v="0"/>
    <x v="0"/>
    <x v="0"/>
    <x v="0"/>
    <x v="0"/>
    <n v="30450"/>
    <x v="0"/>
  </r>
  <r>
    <x v="0"/>
    <s v="Hatchback"/>
    <x v="1"/>
    <x v="1"/>
    <x v="1"/>
    <x v="0"/>
    <x v="0"/>
    <n v="29995"/>
    <x v="0"/>
  </r>
  <r>
    <x v="0"/>
    <s v="Hatchback"/>
    <x v="2"/>
    <x v="1"/>
    <x v="0"/>
    <x v="0"/>
    <x v="0"/>
    <n v="29990"/>
    <x v="1"/>
  </r>
  <r>
    <x v="0"/>
    <s v="Hatchback"/>
    <x v="0"/>
    <x v="0"/>
    <x v="0"/>
    <x v="0"/>
    <x v="0"/>
    <n v="28950"/>
    <x v="2"/>
  </r>
  <r>
    <x v="1"/>
    <s v="Hatchback"/>
    <x v="3"/>
    <x v="0"/>
    <x v="0"/>
    <x v="0"/>
    <x v="1"/>
    <n v="28499"/>
    <x v="3"/>
  </r>
  <r>
    <x v="0"/>
    <s v="Hatchback"/>
    <x v="4"/>
    <x v="1"/>
    <x v="0"/>
    <x v="0"/>
    <x v="0"/>
    <n v="27179"/>
    <x v="3"/>
  </r>
  <r>
    <x v="0"/>
    <s v="Hatchback"/>
    <x v="5"/>
    <x v="0"/>
    <x v="0"/>
    <x v="0"/>
    <x v="0"/>
    <n v="26900"/>
    <x v="3"/>
  </r>
  <r>
    <x v="0"/>
    <s v="Hatchback"/>
    <x v="6"/>
    <x v="0"/>
    <x v="0"/>
    <x v="0"/>
    <x v="0"/>
    <n v="26499"/>
    <x v="1"/>
  </r>
  <r>
    <x v="0"/>
    <s v="Hatchback"/>
    <x v="7"/>
    <x v="1"/>
    <x v="1"/>
    <x v="0"/>
    <x v="0"/>
    <n v="25995"/>
    <x v="1"/>
  </r>
  <r>
    <x v="1"/>
    <s v="Hatchback"/>
    <x v="8"/>
    <x v="0"/>
    <x v="0"/>
    <x v="0"/>
    <x v="0"/>
    <n v="25995"/>
    <x v="0"/>
  </r>
  <r>
    <x v="0"/>
    <s v="Hatchback"/>
    <x v="9"/>
    <x v="1"/>
    <x v="1"/>
    <x v="0"/>
    <x v="0"/>
    <n v="25995"/>
    <x v="3"/>
  </r>
  <r>
    <x v="2"/>
    <s v="Hatchback"/>
    <x v="10"/>
    <x v="0"/>
    <x v="0"/>
    <x v="0"/>
    <x v="0"/>
    <n v="25990"/>
    <x v="2"/>
  </r>
  <r>
    <x v="1"/>
    <s v="Hatchback"/>
    <x v="11"/>
    <x v="0"/>
    <x v="0"/>
    <x v="0"/>
    <x v="0"/>
    <n v="25890"/>
    <x v="1"/>
  </r>
  <r>
    <x v="0"/>
    <s v="Hatchback"/>
    <x v="12"/>
    <x v="1"/>
    <x v="0"/>
    <x v="0"/>
    <x v="1"/>
    <n v="25399"/>
    <x v="0"/>
  </r>
  <r>
    <x v="1"/>
    <s v="Hatchback"/>
    <x v="13"/>
    <x v="1"/>
    <x v="0"/>
    <x v="0"/>
    <x v="0"/>
    <n v="25290"/>
    <x v="1"/>
  </r>
  <r>
    <x v="0"/>
    <s v="Hatchback"/>
    <x v="14"/>
    <x v="1"/>
    <x v="0"/>
    <x v="0"/>
    <x v="0"/>
    <n v="24999"/>
    <x v="1"/>
  </r>
  <r>
    <x v="1"/>
    <s v="Hatchback"/>
    <x v="15"/>
    <x v="1"/>
    <x v="1"/>
    <x v="0"/>
    <x v="0"/>
    <n v="24990"/>
    <x v="3"/>
  </r>
  <r>
    <x v="1"/>
    <s v="Hatchback"/>
    <x v="16"/>
    <x v="1"/>
    <x v="0"/>
    <x v="0"/>
    <x v="0"/>
    <n v="24990"/>
    <x v="2"/>
  </r>
  <r>
    <x v="1"/>
    <s v="Hatchback"/>
    <x v="17"/>
    <x v="1"/>
    <x v="0"/>
    <x v="0"/>
    <x v="0"/>
    <n v="24795"/>
    <x v="3"/>
  </r>
  <r>
    <x v="2"/>
    <s v="Hatchback"/>
    <x v="18"/>
    <x v="2"/>
    <x v="0"/>
    <x v="0"/>
    <x v="1"/>
    <n v="24790"/>
    <x v="1"/>
  </r>
  <r>
    <x v="3"/>
    <s v="Hatchback"/>
    <x v="19"/>
    <x v="1"/>
    <x v="1"/>
    <x v="0"/>
    <x v="0"/>
    <n v="24499"/>
    <x v="3"/>
  </r>
  <r>
    <x v="2"/>
    <s v="Hatchback"/>
    <x v="20"/>
    <x v="0"/>
    <x v="0"/>
    <x v="0"/>
    <x v="1"/>
    <n v="24495"/>
    <x v="0"/>
  </r>
  <r>
    <x v="1"/>
    <s v="Hatchback"/>
    <x v="21"/>
    <x v="1"/>
    <x v="0"/>
    <x v="0"/>
    <x v="0"/>
    <n v="23390"/>
    <x v="3"/>
  </r>
  <r>
    <x v="1"/>
    <s v="Hatchback"/>
    <x v="22"/>
    <x v="1"/>
    <x v="0"/>
    <x v="0"/>
    <x v="0"/>
    <n v="23000"/>
    <x v="0"/>
  </r>
  <r>
    <x v="3"/>
    <s v="Hatchback"/>
    <x v="23"/>
    <x v="1"/>
    <x v="0"/>
    <x v="0"/>
    <x v="0"/>
    <n v="22995"/>
    <x v="0"/>
  </r>
  <r>
    <x v="3"/>
    <s v="Hatchback"/>
    <x v="24"/>
    <x v="0"/>
    <x v="1"/>
    <x v="0"/>
    <x v="1"/>
    <n v="22500"/>
    <x v="1"/>
  </r>
  <r>
    <x v="3"/>
    <s v="Hatchback"/>
    <x v="25"/>
    <x v="0"/>
    <x v="0"/>
    <x v="0"/>
    <x v="1"/>
    <n v="22500"/>
    <x v="2"/>
  </r>
  <r>
    <x v="2"/>
    <s v="Hatchback"/>
    <x v="26"/>
    <x v="1"/>
    <x v="0"/>
    <x v="0"/>
    <x v="0"/>
    <n v="22499"/>
    <x v="3"/>
  </r>
  <r>
    <x v="2"/>
    <s v="Hatchback"/>
    <x v="27"/>
    <x v="1"/>
    <x v="0"/>
    <x v="0"/>
    <x v="0"/>
    <n v="22490"/>
    <x v="3"/>
  </r>
  <r>
    <x v="1"/>
    <s v="Hatchback"/>
    <x v="28"/>
    <x v="1"/>
    <x v="0"/>
    <x v="0"/>
    <x v="0"/>
    <n v="21995"/>
    <x v="3"/>
  </r>
  <r>
    <x v="3"/>
    <s v="Hatchback"/>
    <x v="29"/>
    <x v="1"/>
    <x v="0"/>
    <x v="0"/>
    <x v="1"/>
    <n v="21950"/>
    <x v="1"/>
  </r>
  <r>
    <x v="2"/>
    <s v="Hatchback"/>
    <x v="30"/>
    <x v="0"/>
    <x v="1"/>
    <x v="0"/>
    <x v="0"/>
    <n v="21799"/>
    <x v="1"/>
  </r>
  <r>
    <x v="3"/>
    <s v="Hatchback"/>
    <x v="31"/>
    <x v="0"/>
    <x v="0"/>
    <x v="0"/>
    <x v="0"/>
    <n v="21490"/>
    <x v="0"/>
  </r>
  <r>
    <x v="2"/>
    <s v="Hatchback"/>
    <x v="32"/>
    <x v="1"/>
    <x v="1"/>
    <x v="0"/>
    <x v="0"/>
    <n v="21490"/>
    <x v="3"/>
  </r>
  <r>
    <x v="3"/>
    <s v="Hatchback"/>
    <x v="33"/>
    <x v="0"/>
    <x v="0"/>
    <x v="0"/>
    <x v="0"/>
    <n v="21390"/>
    <x v="2"/>
  </r>
  <r>
    <x v="4"/>
    <s v="Hatchback"/>
    <x v="34"/>
    <x v="1"/>
    <x v="0"/>
    <x v="0"/>
    <x v="0"/>
    <n v="21390"/>
    <x v="1"/>
  </r>
  <r>
    <x v="0"/>
    <s v="Hatchback"/>
    <x v="35"/>
    <x v="1"/>
    <x v="1"/>
    <x v="0"/>
    <x v="0"/>
    <n v="21210"/>
    <x v="0"/>
  </r>
  <r>
    <x v="1"/>
    <s v="Hatchback"/>
    <x v="36"/>
    <x v="1"/>
    <x v="1"/>
    <x v="0"/>
    <x v="1"/>
    <n v="21200"/>
    <x v="1"/>
  </r>
  <r>
    <x v="1"/>
    <s v="Hatchback"/>
    <x v="37"/>
    <x v="1"/>
    <x v="1"/>
    <x v="0"/>
    <x v="0"/>
    <n v="21100"/>
    <x v="1"/>
  </r>
  <r>
    <x v="2"/>
    <s v="Hatchback"/>
    <x v="38"/>
    <x v="1"/>
    <x v="0"/>
    <x v="0"/>
    <x v="1"/>
    <n v="21000"/>
    <x v="3"/>
  </r>
  <r>
    <x v="2"/>
    <s v="Hatchback"/>
    <x v="39"/>
    <x v="1"/>
    <x v="1"/>
    <x v="0"/>
    <x v="0"/>
    <n v="21000"/>
    <x v="2"/>
  </r>
  <r>
    <x v="3"/>
    <s v="Hatchback"/>
    <x v="40"/>
    <x v="2"/>
    <x v="0"/>
    <x v="0"/>
    <x v="1"/>
    <n v="20999"/>
    <x v="3"/>
  </r>
  <r>
    <x v="2"/>
    <s v="Hatchback"/>
    <x v="41"/>
    <x v="1"/>
    <x v="0"/>
    <x v="0"/>
    <x v="1"/>
    <n v="20995"/>
    <x v="1"/>
  </r>
  <r>
    <x v="3"/>
    <s v="Hatchback"/>
    <x v="42"/>
    <x v="0"/>
    <x v="1"/>
    <x v="0"/>
    <x v="0"/>
    <n v="20745"/>
    <x v="3"/>
  </r>
  <r>
    <x v="3"/>
    <s v="Hatchback"/>
    <x v="43"/>
    <x v="0"/>
    <x v="1"/>
    <x v="0"/>
    <x v="1"/>
    <n v="20629"/>
    <x v="0"/>
  </r>
  <r>
    <x v="2"/>
    <s v="Hatchback"/>
    <x v="44"/>
    <x v="1"/>
    <x v="0"/>
    <x v="0"/>
    <x v="0"/>
    <n v="20555"/>
    <x v="3"/>
  </r>
  <r>
    <x v="2"/>
    <s v="Hatchback"/>
    <x v="45"/>
    <x v="1"/>
    <x v="0"/>
    <x v="0"/>
    <x v="1"/>
    <n v="20500"/>
    <x v="0"/>
  </r>
  <r>
    <x v="3"/>
    <s v="Hatchback"/>
    <x v="46"/>
    <x v="0"/>
    <x v="1"/>
    <x v="0"/>
    <x v="1"/>
    <n v="20499"/>
    <x v="0"/>
  </r>
  <r>
    <x v="1"/>
    <s v="Hatchback"/>
    <x v="47"/>
    <x v="1"/>
    <x v="1"/>
    <x v="0"/>
    <x v="0"/>
    <n v="20495"/>
    <x v="1"/>
  </r>
  <r>
    <x v="4"/>
    <s v="Hatchback"/>
    <x v="48"/>
    <x v="3"/>
    <x v="0"/>
    <x v="0"/>
    <x v="1"/>
    <n v="20495"/>
    <x v="2"/>
  </r>
  <r>
    <x v="3"/>
    <s v="Hatchback"/>
    <x v="49"/>
    <x v="0"/>
    <x v="0"/>
    <x v="0"/>
    <x v="0"/>
    <n v="20490"/>
    <x v="3"/>
  </r>
  <r>
    <x v="0"/>
    <s v="Hatchback"/>
    <x v="50"/>
    <x v="1"/>
    <x v="1"/>
    <x v="0"/>
    <x v="0"/>
    <n v="20490"/>
    <x v="3"/>
  </r>
  <r>
    <x v="3"/>
    <s v="Hatchback"/>
    <x v="51"/>
    <x v="0"/>
    <x v="1"/>
    <x v="0"/>
    <x v="0"/>
    <n v="20470"/>
    <x v="3"/>
  </r>
  <r>
    <x v="2"/>
    <s v="Hatchback"/>
    <x v="52"/>
    <x v="1"/>
    <x v="0"/>
    <x v="0"/>
    <x v="0"/>
    <n v="20399"/>
    <x v="1"/>
  </r>
  <r>
    <x v="3"/>
    <s v="Hatchback"/>
    <x v="53"/>
    <x v="1"/>
    <x v="0"/>
    <x v="0"/>
    <x v="0"/>
    <n v="20300"/>
    <x v="1"/>
  </r>
  <r>
    <x v="3"/>
    <s v="Hatchback"/>
    <x v="54"/>
    <x v="1"/>
    <x v="0"/>
    <x v="0"/>
    <x v="0"/>
    <n v="20150"/>
    <x v="0"/>
  </r>
  <r>
    <x v="3"/>
    <s v="Hatchback"/>
    <x v="55"/>
    <x v="1"/>
    <x v="1"/>
    <x v="0"/>
    <x v="0"/>
    <n v="20095"/>
    <x v="3"/>
  </r>
  <r>
    <x v="3"/>
    <s v="Hatchback"/>
    <x v="56"/>
    <x v="0"/>
    <x v="1"/>
    <x v="0"/>
    <x v="0"/>
    <n v="20000"/>
    <x v="2"/>
  </r>
  <r>
    <x v="2"/>
    <s v="Hatchback"/>
    <x v="57"/>
    <x v="1"/>
    <x v="1"/>
    <x v="0"/>
    <x v="0"/>
    <n v="19999"/>
    <x v="1"/>
  </r>
  <r>
    <x v="3"/>
    <s v="Hatchback"/>
    <x v="58"/>
    <x v="1"/>
    <x v="1"/>
    <x v="0"/>
    <x v="0"/>
    <n v="19995"/>
    <x v="0"/>
  </r>
  <r>
    <x v="3"/>
    <s v="Hatchback"/>
    <x v="59"/>
    <x v="0"/>
    <x v="0"/>
    <x v="0"/>
    <x v="1"/>
    <n v="19990"/>
    <x v="1"/>
  </r>
  <r>
    <x v="3"/>
    <s v="Hatchback"/>
    <x v="60"/>
    <x v="0"/>
    <x v="1"/>
    <x v="0"/>
    <x v="1"/>
    <n v="19990"/>
    <x v="1"/>
  </r>
  <r>
    <x v="1"/>
    <s v="Hatchback"/>
    <x v="61"/>
    <x v="1"/>
    <x v="1"/>
    <x v="0"/>
    <x v="0"/>
    <n v="19990"/>
    <x v="3"/>
  </r>
  <r>
    <x v="2"/>
    <s v="Hatchback"/>
    <x v="62"/>
    <x v="1"/>
    <x v="0"/>
    <x v="0"/>
    <x v="0"/>
    <n v="19990"/>
    <x v="2"/>
  </r>
  <r>
    <x v="2"/>
    <s v="Hatchback"/>
    <x v="63"/>
    <x v="1"/>
    <x v="1"/>
    <x v="0"/>
    <x v="0"/>
    <n v="19970"/>
    <x v="3"/>
  </r>
  <r>
    <x v="2"/>
    <s v="Hatchback"/>
    <x v="64"/>
    <x v="1"/>
    <x v="1"/>
    <x v="0"/>
    <x v="0"/>
    <n v="19799"/>
    <x v="1"/>
  </r>
  <r>
    <x v="2"/>
    <s v="Hatchback"/>
    <x v="65"/>
    <x v="1"/>
    <x v="1"/>
    <x v="0"/>
    <x v="0"/>
    <n v="19790"/>
    <x v="3"/>
  </r>
  <r>
    <x v="3"/>
    <s v="Hatchback"/>
    <x v="66"/>
    <x v="1"/>
    <x v="1"/>
    <x v="0"/>
    <x v="0"/>
    <n v="19750"/>
    <x v="0"/>
  </r>
  <r>
    <x v="3"/>
    <s v="Hatchback"/>
    <x v="67"/>
    <x v="1"/>
    <x v="1"/>
    <x v="0"/>
    <x v="0"/>
    <n v="19610"/>
    <x v="3"/>
  </r>
  <r>
    <x v="3"/>
    <s v="Hatchback"/>
    <x v="68"/>
    <x v="1"/>
    <x v="0"/>
    <x v="0"/>
    <x v="0"/>
    <n v="19500"/>
    <x v="0"/>
  </r>
  <r>
    <x v="3"/>
    <s v="Hatchback"/>
    <x v="69"/>
    <x v="1"/>
    <x v="1"/>
    <x v="0"/>
    <x v="0"/>
    <n v="19499"/>
    <x v="0"/>
  </r>
  <r>
    <x v="2"/>
    <s v="Hatchback"/>
    <x v="70"/>
    <x v="1"/>
    <x v="1"/>
    <x v="0"/>
    <x v="0"/>
    <n v="19495"/>
    <x v="1"/>
  </r>
  <r>
    <x v="3"/>
    <s v="Hatchback"/>
    <x v="71"/>
    <x v="1"/>
    <x v="1"/>
    <x v="0"/>
    <x v="0"/>
    <n v="19470"/>
    <x v="2"/>
  </r>
  <r>
    <x v="3"/>
    <s v="Hatchback"/>
    <x v="72"/>
    <x v="1"/>
    <x v="1"/>
    <x v="0"/>
    <x v="0"/>
    <n v="19399"/>
    <x v="3"/>
  </r>
  <r>
    <x v="3"/>
    <s v="Hatchback"/>
    <x v="73"/>
    <x v="1"/>
    <x v="0"/>
    <x v="0"/>
    <x v="0"/>
    <n v="19299"/>
    <x v="3"/>
  </r>
  <r>
    <x v="3"/>
    <s v="Hatchback"/>
    <x v="74"/>
    <x v="1"/>
    <x v="0"/>
    <x v="0"/>
    <x v="0"/>
    <n v="19143"/>
    <x v="3"/>
  </r>
  <r>
    <x v="3"/>
    <s v="Hatchback"/>
    <x v="75"/>
    <x v="1"/>
    <x v="1"/>
    <x v="0"/>
    <x v="0"/>
    <n v="18999"/>
    <x v="1"/>
  </r>
  <r>
    <x v="3"/>
    <s v="Hatchback"/>
    <x v="76"/>
    <x v="1"/>
    <x v="0"/>
    <x v="0"/>
    <x v="0"/>
    <n v="18995"/>
    <x v="1"/>
  </r>
  <r>
    <x v="2"/>
    <s v="Hatchback"/>
    <x v="77"/>
    <x v="1"/>
    <x v="1"/>
    <x v="0"/>
    <x v="0"/>
    <n v="18995"/>
    <x v="0"/>
  </r>
  <r>
    <x v="3"/>
    <s v="Hatchback"/>
    <x v="78"/>
    <x v="1"/>
    <x v="1"/>
    <x v="0"/>
    <x v="0"/>
    <n v="18995"/>
    <x v="3"/>
  </r>
  <r>
    <x v="2"/>
    <s v="Hatchback"/>
    <x v="79"/>
    <x v="1"/>
    <x v="1"/>
    <x v="0"/>
    <x v="0"/>
    <n v="18994"/>
    <x v="2"/>
  </r>
  <r>
    <x v="3"/>
    <s v="Hatchback"/>
    <x v="80"/>
    <x v="1"/>
    <x v="0"/>
    <x v="0"/>
    <x v="1"/>
    <n v="18990"/>
    <x v="1"/>
  </r>
  <r>
    <x v="3"/>
    <s v="Hatchback"/>
    <x v="81"/>
    <x v="1"/>
    <x v="1"/>
    <x v="0"/>
    <x v="0"/>
    <n v="18990"/>
    <x v="0"/>
  </r>
  <r>
    <x v="2"/>
    <s v="Hatchback"/>
    <x v="82"/>
    <x v="1"/>
    <x v="1"/>
    <x v="0"/>
    <x v="0"/>
    <n v="18989"/>
    <x v="1"/>
  </r>
  <r>
    <x v="3"/>
    <s v="Hatchback"/>
    <x v="83"/>
    <x v="1"/>
    <x v="1"/>
    <x v="0"/>
    <x v="1"/>
    <n v="18989"/>
    <x v="1"/>
  </r>
  <r>
    <x v="3"/>
    <s v="Hatchback"/>
    <x v="84"/>
    <x v="0"/>
    <x v="1"/>
    <x v="0"/>
    <x v="0"/>
    <n v="18800"/>
    <x v="3"/>
  </r>
  <r>
    <x v="2"/>
    <s v="Hatchback"/>
    <x v="85"/>
    <x v="1"/>
    <x v="1"/>
    <x v="0"/>
    <x v="0"/>
    <n v="18800"/>
    <x v="2"/>
  </r>
  <r>
    <x v="2"/>
    <s v="Hatchback"/>
    <x v="86"/>
    <x v="1"/>
    <x v="1"/>
    <x v="0"/>
    <x v="0"/>
    <n v="18699"/>
    <x v="3"/>
  </r>
  <r>
    <x v="1"/>
    <s v="Hatchback"/>
    <x v="87"/>
    <x v="1"/>
    <x v="1"/>
    <x v="0"/>
    <x v="0"/>
    <n v="18640"/>
    <x v="1"/>
  </r>
  <r>
    <x v="2"/>
    <s v="Hatchback"/>
    <x v="88"/>
    <x v="1"/>
    <x v="1"/>
    <x v="0"/>
    <x v="0"/>
    <n v="18600"/>
    <x v="3"/>
  </r>
  <r>
    <x v="3"/>
    <s v="Hatchback"/>
    <x v="89"/>
    <x v="1"/>
    <x v="0"/>
    <x v="0"/>
    <x v="0"/>
    <n v="18580"/>
    <x v="0"/>
  </r>
  <r>
    <x v="2"/>
    <s v="Hatchback"/>
    <x v="90"/>
    <x v="1"/>
    <x v="1"/>
    <x v="0"/>
    <x v="1"/>
    <n v="18500"/>
    <x v="3"/>
  </r>
  <r>
    <x v="3"/>
    <s v="Hatchback"/>
    <x v="91"/>
    <x v="1"/>
    <x v="0"/>
    <x v="0"/>
    <x v="0"/>
    <n v="18495"/>
    <x v="0"/>
  </r>
  <r>
    <x v="2"/>
    <s v="Hatchback"/>
    <x v="92"/>
    <x v="1"/>
    <x v="1"/>
    <x v="0"/>
    <x v="0"/>
    <n v="18495"/>
    <x v="0"/>
  </r>
  <r>
    <x v="3"/>
    <s v="Hatchback"/>
    <x v="93"/>
    <x v="1"/>
    <x v="1"/>
    <x v="0"/>
    <x v="0"/>
    <n v="18470"/>
    <x v="1"/>
  </r>
  <r>
    <x v="3"/>
    <s v="Hatchback"/>
    <x v="94"/>
    <x v="1"/>
    <x v="1"/>
    <x v="0"/>
    <x v="1"/>
    <n v="18395"/>
    <x v="2"/>
  </r>
  <r>
    <x v="3"/>
    <s v="Hatchback"/>
    <x v="95"/>
    <x v="0"/>
    <x v="1"/>
    <x v="0"/>
    <x v="0"/>
    <n v="18380"/>
    <x v="3"/>
  </r>
  <r>
    <x v="3"/>
    <s v="Hatchback"/>
    <x v="96"/>
    <x v="1"/>
    <x v="1"/>
    <x v="0"/>
    <x v="0"/>
    <n v="18300"/>
    <x v="3"/>
  </r>
  <r>
    <x v="3"/>
    <s v="Hatchback"/>
    <x v="97"/>
    <x v="1"/>
    <x v="1"/>
    <x v="0"/>
    <x v="1"/>
    <n v="18295"/>
    <x v="3"/>
  </r>
  <r>
    <x v="3"/>
    <s v="Hatchback"/>
    <x v="98"/>
    <x v="1"/>
    <x v="0"/>
    <x v="0"/>
    <x v="1"/>
    <n v="18000"/>
    <x v="1"/>
  </r>
  <r>
    <x v="2"/>
    <s v="Hatchback"/>
    <x v="99"/>
    <x v="1"/>
    <x v="1"/>
    <x v="0"/>
    <x v="0"/>
    <n v="18000"/>
    <x v="1"/>
  </r>
  <r>
    <x v="2"/>
    <s v="Hatchback"/>
    <x v="100"/>
    <x v="1"/>
    <x v="1"/>
    <x v="0"/>
    <x v="0"/>
    <n v="18000"/>
    <x v="0"/>
  </r>
  <r>
    <x v="2"/>
    <s v="Hatchback"/>
    <x v="97"/>
    <x v="1"/>
    <x v="1"/>
    <x v="0"/>
    <x v="0"/>
    <n v="17999"/>
    <x v="3"/>
  </r>
  <r>
    <x v="4"/>
    <s v="Hatchback"/>
    <x v="101"/>
    <x v="1"/>
    <x v="1"/>
    <x v="0"/>
    <x v="0"/>
    <n v="17995"/>
    <x v="2"/>
  </r>
  <r>
    <x v="3"/>
    <s v="Hatchback"/>
    <x v="102"/>
    <x v="0"/>
    <x v="0"/>
    <x v="0"/>
    <x v="1"/>
    <n v="17995"/>
    <x v="1"/>
  </r>
  <r>
    <x v="2"/>
    <s v="Hatchback"/>
    <x v="103"/>
    <x v="1"/>
    <x v="1"/>
    <x v="0"/>
    <x v="0"/>
    <n v="17990"/>
    <x v="0"/>
  </r>
  <r>
    <x v="2"/>
    <s v="Hatchback"/>
    <x v="104"/>
    <x v="1"/>
    <x v="1"/>
    <x v="0"/>
    <x v="0"/>
    <n v="17990"/>
    <x v="1"/>
  </r>
  <r>
    <x v="2"/>
    <s v="Hatchback"/>
    <x v="105"/>
    <x v="1"/>
    <x v="1"/>
    <x v="0"/>
    <x v="0"/>
    <n v="17990"/>
    <x v="1"/>
  </r>
  <r>
    <x v="3"/>
    <s v="Hatchback"/>
    <x v="106"/>
    <x v="1"/>
    <x v="1"/>
    <x v="0"/>
    <x v="0"/>
    <n v="17989"/>
    <x v="3"/>
  </r>
  <r>
    <x v="3"/>
    <s v="Hatchback"/>
    <x v="107"/>
    <x v="1"/>
    <x v="1"/>
    <x v="0"/>
    <x v="0"/>
    <n v="17970"/>
    <x v="2"/>
  </r>
  <r>
    <x v="3"/>
    <s v="Hatchback"/>
    <x v="108"/>
    <x v="1"/>
    <x v="1"/>
    <x v="0"/>
    <x v="0"/>
    <n v="17950"/>
    <x v="3"/>
  </r>
  <r>
    <x v="3"/>
    <s v="Hatchback"/>
    <x v="109"/>
    <x v="1"/>
    <x v="1"/>
    <x v="0"/>
    <x v="0"/>
    <n v="17790"/>
    <x v="1"/>
  </r>
  <r>
    <x v="3"/>
    <s v="Hatchback"/>
    <x v="110"/>
    <x v="0"/>
    <x v="1"/>
    <x v="0"/>
    <x v="2"/>
    <n v="17750"/>
    <x v="3"/>
  </r>
  <r>
    <x v="3"/>
    <s v="Hatchback"/>
    <x v="111"/>
    <x v="0"/>
    <x v="1"/>
    <x v="0"/>
    <x v="0"/>
    <n v="17690"/>
    <x v="0"/>
  </r>
  <r>
    <x v="3"/>
    <s v="Hatchback"/>
    <x v="112"/>
    <x v="1"/>
    <x v="1"/>
    <x v="0"/>
    <x v="0"/>
    <n v="17499"/>
    <x v="3"/>
  </r>
  <r>
    <x v="2"/>
    <s v="Hatchback"/>
    <x v="113"/>
    <x v="1"/>
    <x v="1"/>
    <x v="0"/>
    <x v="0"/>
    <n v="17495"/>
    <x v="0"/>
  </r>
  <r>
    <x v="3"/>
    <s v="Hatchback"/>
    <x v="27"/>
    <x v="1"/>
    <x v="0"/>
    <x v="0"/>
    <x v="0"/>
    <n v="17495"/>
    <x v="0"/>
  </r>
  <r>
    <x v="3"/>
    <s v="Hatchback"/>
    <x v="114"/>
    <x v="1"/>
    <x v="1"/>
    <x v="0"/>
    <x v="0"/>
    <n v="17495"/>
    <x v="1"/>
  </r>
  <r>
    <x v="3"/>
    <s v="Hatchback"/>
    <x v="115"/>
    <x v="1"/>
    <x v="1"/>
    <x v="0"/>
    <x v="0"/>
    <n v="17495"/>
    <x v="2"/>
  </r>
  <r>
    <x v="3"/>
    <s v="Hatchback"/>
    <x v="116"/>
    <x v="1"/>
    <x v="1"/>
    <x v="0"/>
    <x v="1"/>
    <n v="17495"/>
    <x v="3"/>
  </r>
  <r>
    <x v="4"/>
    <s v="Hatchback"/>
    <x v="117"/>
    <x v="3"/>
    <x v="0"/>
    <x v="0"/>
    <x v="0"/>
    <n v="17490"/>
    <x v="3"/>
  </r>
  <r>
    <x v="3"/>
    <s v="Hatchback"/>
    <x v="118"/>
    <x v="1"/>
    <x v="1"/>
    <x v="0"/>
    <x v="0"/>
    <n v="17421"/>
    <x v="3"/>
  </r>
  <r>
    <x v="4"/>
    <s v="Hatchback"/>
    <x v="119"/>
    <x v="1"/>
    <x v="1"/>
    <x v="0"/>
    <x v="1"/>
    <n v="17295"/>
    <x v="1"/>
  </r>
  <r>
    <x v="4"/>
    <s v="Hatchback"/>
    <x v="120"/>
    <x v="1"/>
    <x v="1"/>
    <x v="0"/>
    <x v="0"/>
    <n v="17200"/>
    <x v="1"/>
  </r>
  <r>
    <x v="3"/>
    <s v="Hatchback"/>
    <x v="121"/>
    <x v="1"/>
    <x v="1"/>
    <x v="0"/>
    <x v="0"/>
    <n v="17198"/>
    <x v="0"/>
  </r>
  <r>
    <x v="3"/>
    <s v="Hatchback"/>
    <x v="122"/>
    <x v="1"/>
    <x v="1"/>
    <x v="0"/>
    <x v="0"/>
    <n v="17195"/>
    <x v="3"/>
  </r>
  <r>
    <x v="3"/>
    <s v="Hatchback"/>
    <x v="123"/>
    <x v="1"/>
    <x v="1"/>
    <x v="0"/>
    <x v="0"/>
    <n v="17100"/>
    <x v="2"/>
  </r>
  <r>
    <x v="3"/>
    <s v="Hatchback"/>
    <x v="124"/>
    <x v="1"/>
    <x v="1"/>
    <x v="0"/>
    <x v="0"/>
    <n v="17000"/>
    <x v="1"/>
  </r>
  <r>
    <x v="4"/>
    <s v="Hatchback"/>
    <x v="125"/>
    <x v="3"/>
    <x v="1"/>
    <x v="0"/>
    <x v="1"/>
    <n v="16990"/>
    <x v="0"/>
  </r>
  <r>
    <x v="4"/>
    <s v="Hatchback"/>
    <x v="126"/>
    <x v="3"/>
    <x v="0"/>
    <x v="0"/>
    <x v="0"/>
    <n v="16985"/>
    <x v="1"/>
  </r>
  <r>
    <x v="2"/>
    <s v="Hatchback"/>
    <x v="127"/>
    <x v="1"/>
    <x v="1"/>
    <x v="0"/>
    <x v="0"/>
    <n v="16970"/>
    <x v="1"/>
  </r>
  <r>
    <x v="3"/>
    <s v="Hatchback"/>
    <x v="128"/>
    <x v="1"/>
    <x v="1"/>
    <x v="0"/>
    <x v="0"/>
    <n v="16900"/>
    <x v="3"/>
  </r>
  <r>
    <x v="3"/>
    <s v="Hatchback"/>
    <x v="129"/>
    <x v="1"/>
    <x v="1"/>
    <x v="0"/>
    <x v="0"/>
    <n v="16850"/>
    <x v="2"/>
  </r>
  <r>
    <x v="4"/>
    <s v="Hatchback"/>
    <x v="130"/>
    <x v="3"/>
    <x v="1"/>
    <x v="0"/>
    <x v="0"/>
    <n v="16847"/>
    <x v="3"/>
  </r>
  <r>
    <x v="4"/>
    <s v="Hatchback"/>
    <x v="131"/>
    <x v="3"/>
    <x v="0"/>
    <x v="0"/>
    <x v="0"/>
    <n v="16700"/>
    <x v="1"/>
  </r>
  <r>
    <x v="2"/>
    <s v="Hatchback"/>
    <x v="132"/>
    <x v="1"/>
    <x v="1"/>
    <x v="0"/>
    <x v="0"/>
    <n v="16700"/>
    <x v="3"/>
  </r>
  <r>
    <x v="5"/>
    <s v="Hatchback"/>
    <x v="133"/>
    <x v="3"/>
    <x v="0"/>
    <x v="0"/>
    <x v="1"/>
    <n v="16699"/>
    <x v="0"/>
  </r>
  <r>
    <x v="3"/>
    <s v="Hatchback"/>
    <x v="134"/>
    <x v="1"/>
    <x v="1"/>
    <x v="0"/>
    <x v="0"/>
    <n v="16698"/>
    <x v="3"/>
  </r>
  <r>
    <x v="3"/>
    <s v="Hatchback"/>
    <x v="135"/>
    <x v="1"/>
    <x v="1"/>
    <x v="0"/>
    <x v="0"/>
    <n v="16689"/>
    <x v="0"/>
  </r>
  <r>
    <x v="5"/>
    <s v="Hatchback"/>
    <x v="136"/>
    <x v="3"/>
    <x v="1"/>
    <x v="0"/>
    <x v="1"/>
    <n v="16680"/>
    <x v="0"/>
  </r>
  <r>
    <x v="4"/>
    <s v="Hatchback"/>
    <x v="137"/>
    <x v="3"/>
    <x v="0"/>
    <x v="0"/>
    <x v="1"/>
    <n v="16495"/>
    <x v="1"/>
  </r>
  <r>
    <x v="3"/>
    <s v="Hatchback"/>
    <x v="138"/>
    <x v="1"/>
    <x v="1"/>
    <x v="0"/>
    <x v="0"/>
    <n v="16300"/>
    <x v="2"/>
  </r>
  <r>
    <x v="3"/>
    <s v="Hatchback"/>
    <x v="139"/>
    <x v="1"/>
    <x v="1"/>
    <x v="0"/>
    <x v="0"/>
    <n v="16300"/>
    <x v="3"/>
  </r>
  <r>
    <x v="3"/>
    <s v="Hatchback"/>
    <x v="140"/>
    <x v="1"/>
    <x v="1"/>
    <x v="0"/>
    <x v="1"/>
    <n v="16250"/>
    <x v="3"/>
  </r>
  <r>
    <x v="4"/>
    <s v="Hatchback"/>
    <x v="141"/>
    <x v="1"/>
    <x v="0"/>
    <x v="0"/>
    <x v="0"/>
    <n v="16200"/>
    <x v="3"/>
  </r>
  <r>
    <x v="5"/>
    <s v="Hatchback"/>
    <x v="142"/>
    <x v="3"/>
    <x v="0"/>
    <x v="0"/>
    <x v="0"/>
    <n v="15999"/>
    <x v="1"/>
  </r>
  <r>
    <x v="5"/>
    <s v="Hatchback"/>
    <x v="143"/>
    <x v="4"/>
    <x v="0"/>
    <x v="1"/>
    <x v="0"/>
    <n v="15995"/>
    <x v="1"/>
  </r>
  <r>
    <x v="5"/>
    <s v="Hatchback"/>
    <x v="144"/>
    <x v="3"/>
    <x v="0"/>
    <x v="0"/>
    <x v="3"/>
    <n v="15995"/>
    <x v="0"/>
  </r>
  <r>
    <x v="5"/>
    <s v="Hatchback"/>
    <x v="145"/>
    <x v="3"/>
    <x v="1"/>
    <x v="0"/>
    <x v="0"/>
    <n v="15995"/>
    <x v="3"/>
  </r>
  <r>
    <x v="3"/>
    <s v="Hatchback"/>
    <x v="146"/>
    <x v="1"/>
    <x v="1"/>
    <x v="0"/>
    <x v="0"/>
    <n v="15990"/>
    <x v="2"/>
  </r>
  <r>
    <x v="4"/>
    <s v="Hatchback"/>
    <x v="147"/>
    <x v="4"/>
    <x v="1"/>
    <x v="1"/>
    <x v="0"/>
    <n v="15970"/>
    <x v="1"/>
  </r>
  <r>
    <x v="4"/>
    <s v="Hatchback"/>
    <x v="148"/>
    <x v="3"/>
    <x v="0"/>
    <x v="0"/>
    <x v="0"/>
    <n v="15690"/>
    <x v="0"/>
  </r>
  <r>
    <x v="5"/>
    <s v="Hatchback"/>
    <x v="149"/>
    <x v="3"/>
    <x v="0"/>
    <x v="0"/>
    <x v="1"/>
    <n v="15643"/>
    <x v="1"/>
  </r>
  <r>
    <x v="4"/>
    <s v="Hatchback"/>
    <x v="150"/>
    <x v="3"/>
    <x v="0"/>
    <x v="0"/>
    <x v="2"/>
    <n v="15590"/>
    <x v="1"/>
  </r>
  <r>
    <x v="3"/>
    <s v="Hatchback"/>
    <x v="151"/>
    <x v="1"/>
    <x v="1"/>
    <x v="0"/>
    <x v="0"/>
    <n v="15495"/>
    <x v="3"/>
  </r>
  <r>
    <x v="3"/>
    <s v="Hatchback"/>
    <x v="152"/>
    <x v="1"/>
    <x v="1"/>
    <x v="0"/>
    <x v="0"/>
    <n v="15356"/>
    <x v="2"/>
  </r>
  <r>
    <x v="3"/>
    <s v="Hatchback"/>
    <x v="153"/>
    <x v="1"/>
    <x v="1"/>
    <x v="0"/>
    <x v="1"/>
    <n v="15300"/>
    <x v="3"/>
  </r>
  <r>
    <x v="2"/>
    <s v="Hatchback"/>
    <x v="154"/>
    <x v="1"/>
    <x v="1"/>
    <x v="0"/>
    <x v="0"/>
    <n v="15189"/>
    <x v="1"/>
  </r>
  <r>
    <x v="3"/>
    <s v="Hatchback"/>
    <x v="155"/>
    <x v="1"/>
    <x v="1"/>
    <x v="0"/>
    <x v="0"/>
    <n v="15043"/>
    <x v="3"/>
  </r>
  <r>
    <x v="4"/>
    <s v="Hatchback"/>
    <x v="156"/>
    <x v="4"/>
    <x v="1"/>
    <x v="1"/>
    <x v="0"/>
    <n v="14995"/>
    <x v="0"/>
  </r>
  <r>
    <x v="6"/>
    <s v="Hatchback"/>
    <x v="157"/>
    <x v="3"/>
    <x v="1"/>
    <x v="0"/>
    <x v="1"/>
    <n v="14995"/>
    <x v="3"/>
  </r>
  <r>
    <x v="6"/>
    <s v="Hatchback"/>
    <x v="158"/>
    <x v="4"/>
    <x v="1"/>
    <x v="1"/>
    <x v="0"/>
    <n v="14995"/>
    <x v="0"/>
  </r>
  <r>
    <x v="4"/>
    <s v="Hatchback"/>
    <x v="80"/>
    <x v="3"/>
    <x v="1"/>
    <x v="0"/>
    <x v="1"/>
    <n v="14995"/>
    <x v="0"/>
  </r>
  <r>
    <x v="6"/>
    <s v="Hatchback"/>
    <x v="159"/>
    <x v="3"/>
    <x v="1"/>
    <x v="0"/>
    <x v="0"/>
    <n v="14995"/>
    <x v="1"/>
  </r>
  <r>
    <x v="5"/>
    <s v="Hatchback"/>
    <x v="160"/>
    <x v="3"/>
    <x v="0"/>
    <x v="0"/>
    <x v="4"/>
    <n v="14990"/>
    <x v="2"/>
  </r>
  <r>
    <x v="6"/>
    <s v="Hatchback"/>
    <x v="161"/>
    <x v="3"/>
    <x v="1"/>
    <x v="0"/>
    <x v="2"/>
    <n v="14990"/>
    <x v="3"/>
  </r>
  <r>
    <x v="5"/>
    <s v="Hatchback"/>
    <x v="162"/>
    <x v="4"/>
    <x v="0"/>
    <x v="1"/>
    <x v="0"/>
    <n v="14980"/>
    <x v="3"/>
  </r>
  <r>
    <x v="4"/>
    <s v="Hatchback"/>
    <x v="163"/>
    <x v="3"/>
    <x v="0"/>
    <x v="0"/>
    <x v="2"/>
    <n v="14974"/>
    <x v="3"/>
  </r>
  <r>
    <x v="4"/>
    <s v="Hatchback"/>
    <x v="164"/>
    <x v="3"/>
    <x v="1"/>
    <x v="0"/>
    <x v="2"/>
    <n v="14950"/>
    <x v="1"/>
  </r>
  <r>
    <x v="4"/>
    <s v="Hatchback"/>
    <x v="165"/>
    <x v="1"/>
    <x v="1"/>
    <x v="0"/>
    <x v="1"/>
    <n v="14949"/>
    <x v="1"/>
  </r>
  <r>
    <x v="4"/>
    <s v="Hatchback"/>
    <x v="166"/>
    <x v="3"/>
    <x v="1"/>
    <x v="0"/>
    <x v="1"/>
    <n v="14900"/>
    <x v="0"/>
  </r>
  <r>
    <x v="3"/>
    <s v="Hatchback"/>
    <x v="167"/>
    <x v="1"/>
    <x v="1"/>
    <x v="0"/>
    <x v="0"/>
    <n v="14837"/>
    <x v="3"/>
  </r>
  <r>
    <x v="5"/>
    <s v="Hatchback"/>
    <x v="115"/>
    <x v="3"/>
    <x v="1"/>
    <x v="0"/>
    <x v="0"/>
    <n v="14800"/>
    <x v="2"/>
  </r>
  <r>
    <x v="5"/>
    <s v="Hatchback"/>
    <x v="168"/>
    <x v="4"/>
    <x v="1"/>
    <x v="1"/>
    <x v="2"/>
    <n v="14795"/>
    <x v="1"/>
  </r>
  <r>
    <x v="6"/>
    <s v="Hatchback"/>
    <x v="169"/>
    <x v="3"/>
    <x v="0"/>
    <x v="0"/>
    <x v="0"/>
    <n v="14795"/>
    <x v="0"/>
  </r>
  <r>
    <x v="4"/>
    <s v="Hatchback"/>
    <x v="170"/>
    <x v="3"/>
    <x v="1"/>
    <x v="0"/>
    <x v="2"/>
    <n v="14750"/>
    <x v="1"/>
  </r>
  <r>
    <x v="7"/>
    <s v="Hatchback"/>
    <x v="171"/>
    <x v="3"/>
    <x v="0"/>
    <x v="0"/>
    <x v="0"/>
    <n v="14750"/>
    <x v="1"/>
  </r>
  <r>
    <x v="6"/>
    <s v="Hatchback"/>
    <x v="172"/>
    <x v="3"/>
    <x v="0"/>
    <x v="0"/>
    <x v="1"/>
    <n v="14750"/>
    <x v="3"/>
  </r>
  <r>
    <x v="4"/>
    <s v="Hatchback"/>
    <x v="173"/>
    <x v="3"/>
    <x v="1"/>
    <x v="0"/>
    <x v="0"/>
    <n v="14700"/>
    <x v="2"/>
  </r>
  <r>
    <x v="5"/>
    <s v="Hatchback"/>
    <x v="174"/>
    <x v="3"/>
    <x v="0"/>
    <x v="0"/>
    <x v="0"/>
    <n v="14600"/>
    <x v="3"/>
  </r>
  <r>
    <x v="4"/>
    <s v="Hatchback"/>
    <x v="175"/>
    <x v="4"/>
    <x v="1"/>
    <x v="1"/>
    <x v="1"/>
    <n v="14600"/>
    <x v="1"/>
  </r>
  <r>
    <x v="4"/>
    <s v="Hatchback"/>
    <x v="176"/>
    <x v="1"/>
    <x v="1"/>
    <x v="0"/>
    <x v="0"/>
    <n v="14600"/>
    <x v="3"/>
  </r>
  <r>
    <x v="5"/>
    <s v="Hatchback"/>
    <x v="177"/>
    <x v="3"/>
    <x v="0"/>
    <x v="0"/>
    <x v="2"/>
    <n v="14500"/>
    <x v="0"/>
  </r>
  <r>
    <x v="4"/>
    <s v="Hatchback"/>
    <x v="178"/>
    <x v="3"/>
    <x v="0"/>
    <x v="0"/>
    <x v="0"/>
    <n v="14499"/>
    <x v="3"/>
  </r>
  <r>
    <x v="5"/>
    <s v="Hatchback"/>
    <x v="179"/>
    <x v="4"/>
    <x v="1"/>
    <x v="1"/>
    <x v="0"/>
    <n v="14495"/>
    <x v="0"/>
  </r>
  <r>
    <x v="6"/>
    <s v="Hatchback"/>
    <x v="180"/>
    <x v="3"/>
    <x v="0"/>
    <x v="0"/>
    <x v="1"/>
    <n v="14444"/>
    <x v="0"/>
  </r>
  <r>
    <x v="3"/>
    <s v="Hatchback"/>
    <x v="181"/>
    <x v="1"/>
    <x v="1"/>
    <x v="0"/>
    <x v="0"/>
    <n v="14400"/>
    <x v="1"/>
  </r>
  <r>
    <x v="4"/>
    <s v="Hatchback"/>
    <x v="182"/>
    <x v="1"/>
    <x v="1"/>
    <x v="0"/>
    <x v="1"/>
    <n v="14300"/>
    <x v="2"/>
  </r>
  <r>
    <x v="5"/>
    <s v="Hatchback"/>
    <x v="79"/>
    <x v="3"/>
    <x v="1"/>
    <x v="0"/>
    <x v="1"/>
    <n v="14295"/>
    <x v="3"/>
  </r>
  <r>
    <x v="4"/>
    <s v="Hatchback"/>
    <x v="74"/>
    <x v="1"/>
    <x v="0"/>
    <x v="0"/>
    <x v="4"/>
    <n v="14250"/>
    <x v="3"/>
  </r>
  <r>
    <x v="4"/>
    <s v="Hatchback"/>
    <x v="183"/>
    <x v="3"/>
    <x v="0"/>
    <x v="0"/>
    <x v="1"/>
    <n v="14110"/>
    <x v="3"/>
  </r>
  <r>
    <x v="5"/>
    <s v="Hatchback"/>
    <x v="184"/>
    <x v="3"/>
    <x v="1"/>
    <x v="0"/>
    <x v="1"/>
    <n v="14094"/>
    <x v="1"/>
  </r>
  <r>
    <x v="4"/>
    <s v="Hatchback"/>
    <x v="185"/>
    <x v="3"/>
    <x v="1"/>
    <x v="0"/>
    <x v="0"/>
    <n v="14000"/>
    <x v="1"/>
  </r>
  <r>
    <x v="4"/>
    <s v="Hatchback"/>
    <x v="186"/>
    <x v="3"/>
    <x v="0"/>
    <x v="0"/>
    <x v="0"/>
    <n v="13999"/>
    <x v="0"/>
  </r>
  <r>
    <x v="4"/>
    <s v="Hatchback"/>
    <x v="187"/>
    <x v="3"/>
    <x v="1"/>
    <x v="0"/>
    <x v="1"/>
    <n v="13997"/>
    <x v="3"/>
  </r>
  <r>
    <x v="8"/>
    <s v="Hatchback"/>
    <x v="188"/>
    <x v="3"/>
    <x v="1"/>
    <x v="0"/>
    <x v="0"/>
    <n v="13995"/>
    <x v="2"/>
  </r>
  <r>
    <x v="5"/>
    <s v="Hatchback"/>
    <x v="189"/>
    <x v="4"/>
    <x v="1"/>
    <x v="1"/>
    <x v="1"/>
    <n v="13995"/>
    <x v="1"/>
  </r>
  <r>
    <x v="5"/>
    <s v="Hatchback"/>
    <x v="190"/>
    <x v="4"/>
    <x v="1"/>
    <x v="1"/>
    <x v="1"/>
    <n v="13980"/>
    <x v="0"/>
  </r>
  <r>
    <x v="4"/>
    <s v="Hatchback"/>
    <x v="191"/>
    <x v="3"/>
    <x v="1"/>
    <x v="0"/>
    <x v="1"/>
    <n v="13946"/>
    <x v="1"/>
  </r>
  <r>
    <x v="4"/>
    <s v="Hatchback"/>
    <x v="192"/>
    <x v="1"/>
    <x v="1"/>
    <x v="0"/>
    <x v="0"/>
    <n v="13945"/>
    <x v="1"/>
  </r>
  <r>
    <x v="5"/>
    <s v="Hatchback"/>
    <x v="193"/>
    <x v="4"/>
    <x v="1"/>
    <x v="1"/>
    <x v="1"/>
    <n v="13795"/>
    <x v="3"/>
  </r>
  <r>
    <x v="5"/>
    <s v="Hatchback"/>
    <x v="194"/>
    <x v="4"/>
    <x v="1"/>
    <x v="1"/>
    <x v="0"/>
    <n v="13749"/>
    <x v="2"/>
  </r>
  <r>
    <x v="6"/>
    <s v="Hatchback"/>
    <x v="195"/>
    <x v="3"/>
    <x v="1"/>
    <x v="0"/>
    <x v="1"/>
    <n v="13679"/>
    <x v="3"/>
  </r>
  <r>
    <x v="5"/>
    <s v="Hatchback"/>
    <x v="125"/>
    <x v="3"/>
    <x v="1"/>
    <x v="0"/>
    <x v="0"/>
    <n v="13594"/>
    <x v="1"/>
  </r>
  <r>
    <x v="4"/>
    <s v="Hatchback"/>
    <x v="196"/>
    <x v="3"/>
    <x v="0"/>
    <x v="0"/>
    <x v="2"/>
    <n v="13560"/>
    <x v="3"/>
  </r>
  <r>
    <x v="5"/>
    <s v="Hatchback"/>
    <x v="197"/>
    <x v="3"/>
    <x v="1"/>
    <x v="0"/>
    <x v="1"/>
    <n v="13555"/>
    <x v="0"/>
  </r>
  <r>
    <x v="6"/>
    <s v="Hatchback"/>
    <x v="198"/>
    <x v="3"/>
    <x v="1"/>
    <x v="0"/>
    <x v="0"/>
    <n v="13500"/>
    <x v="3"/>
  </r>
  <r>
    <x v="5"/>
    <s v="Hatchback"/>
    <x v="199"/>
    <x v="3"/>
    <x v="1"/>
    <x v="0"/>
    <x v="2"/>
    <n v="13495"/>
    <x v="0"/>
  </r>
  <r>
    <x v="4"/>
    <s v="Hatchback"/>
    <x v="200"/>
    <x v="3"/>
    <x v="1"/>
    <x v="0"/>
    <x v="1"/>
    <n v="13490"/>
    <x v="0"/>
  </r>
  <r>
    <x v="6"/>
    <s v="Hatchback"/>
    <x v="136"/>
    <x v="3"/>
    <x v="0"/>
    <x v="0"/>
    <x v="1"/>
    <n v="13490"/>
    <x v="1"/>
  </r>
  <r>
    <x v="5"/>
    <s v="Hatchback"/>
    <x v="201"/>
    <x v="3"/>
    <x v="1"/>
    <x v="0"/>
    <x v="0"/>
    <n v="13470"/>
    <x v="2"/>
  </r>
  <r>
    <x v="4"/>
    <s v="Hatchback"/>
    <x v="202"/>
    <x v="3"/>
    <x v="1"/>
    <x v="0"/>
    <x v="0"/>
    <n v="13350"/>
    <x v="3"/>
  </r>
  <r>
    <x v="8"/>
    <s v="Hatchback"/>
    <x v="203"/>
    <x v="3"/>
    <x v="0"/>
    <x v="0"/>
    <x v="4"/>
    <n v="13289"/>
    <x v="3"/>
  </r>
  <r>
    <x v="8"/>
    <s v="Hatchback"/>
    <x v="168"/>
    <x v="3"/>
    <x v="0"/>
    <x v="0"/>
    <x v="1"/>
    <n v="13250"/>
    <x v="3"/>
  </r>
  <r>
    <x v="8"/>
    <s v="Hatchback"/>
    <x v="204"/>
    <x v="3"/>
    <x v="0"/>
    <x v="0"/>
    <x v="1"/>
    <n v="13200"/>
    <x v="1"/>
  </r>
  <r>
    <x v="5"/>
    <s v="Hatchback"/>
    <x v="205"/>
    <x v="3"/>
    <x v="1"/>
    <x v="0"/>
    <x v="2"/>
    <n v="13000"/>
    <x v="1"/>
  </r>
  <r>
    <x v="4"/>
    <s v="Hatchback"/>
    <x v="165"/>
    <x v="3"/>
    <x v="1"/>
    <x v="0"/>
    <x v="1"/>
    <n v="12999"/>
    <x v="0"/>
  </r>
  <r>
    <x v="5"/>
    <s v="Hatchback"/>
    <x v="206"/>
    <x v="3"/>
    <x v="1"/>
    <x v="0"/>
    <x v="0"/>
    <n v="12995"/>
    <x v="3"/>
  </r>
  <r>
    <x v="6"/>
    <s v="Hatchback"/>
    <x v="207"/>
    <x v="3"/>
    <x v="1"/>
    <x v="0"/>
    <x v="1"/>
    <n v="12995"/>
    <x v="2"/>
  </r>
  <r>
    <x v="8"/>
    <s v="Hatchback"/>
    <x v="208"/>
    <x v="3"/>
    <x v="0"/>
    <x v="0"/>
    <x v="1"/>
    <n v="12995"/>
    <x v="1"/>
  </r>
  <r>
    <x v="5"/>
    <s v="Hatchback"/>
    <x v="209"/>
    <x v="3"/>
    <x v="1"/>
    <x v="0"/>
    <x v="0"/>
    <n v="12979"/>
    <x v="0"/>
  </r>
  <r>
    <x v="7"/>
    <s v="Hatchback"/>
    <x v="210"/>
    <x v="3"/>
    <x v="1"/>
    <x v="0"/>
    <x v="1"/>
    <n v="12950"/>
    <x v="1"/>
  </r>
  <r>
    <x v="4"/>
    <s v="Hatchback"/>
    <x v="211"/>
    <x v="4"/>
    <x v="0"/>
    <x v="1"/>
    <x v="0"/>
    <n v="12940"/>
    <x v="1"/>
  </r>
  <r>
    <x v="4"/>
    <s v="Hatchback"/>
    <x v="212"/>
    <x v="3"/>
    <x v="1"/>
    <x v="0"/>
    <x v="0"/>
    <n v="12749"/>
    <x v="3"/>
  </r>
  <r>
    <x v="6"/>
    <s v="Hatchback"/>
    <x v="79"/>
    <x v="1"/>
    <x v="0"/>
    <x v="0"/>
    <x v="1"/>
    <n v="12725"/>
    <x v="2"/>
  </r>
  <r>
    <x v="5"/>
    <s v="Hatchback"/>
    <x v="213"/>
    <x v="3"/>
    <x v="1"/>
    <x v="0"/>
    <x v="1"/>
    <n v="12699"/>
    <x v="3"/>
  </r>
  <r>
    <x v="7"/>
    <s v="Hatchback"/>
    <x v="74"/>
    <x v="3"/>
    <x v="1"/>
    <x v="0"/>
    <x v="1"/>
    <n v="12695"/>
    <x v="1"/>
  </r>
  <r>
    <x v="4"/>
    <s v="Hatchback"/>
    <x v="133"/>
    <x v="3"/>
    <x v="1"/>
    <x v="0"/>
    <x v="0"/>
    <n v="12650"/>
    <x v="3"/>
  </r>
  <r>
    <x v="6"/>
    <s v="Hatchback"/>
    <x v="214"/>
    <x v="1"/>
    <x v="1"/>
    <x v="0"/>
    <x v="2"/>
    <n v="12600"/>
    <x v="0"/>
  </r>
  <r>
    <x v="6"/>
    <s v="Hatchback"/>
    <x v="215"/>
    <x v="3"/>
    <x v="1"/>
    <x v="0"/>
    <x v="2"/>
    <n v="12600"/>
    <x v="3"/>
  </r>
  <r>
    <x v="8"/>
    <s v="Hatchback"/>
    <x v="216"/>
    <x v="3"/>
    <x v="1"/>
    <x v="0"/>
    <x v="1"/>
    <n v="12595"/>
    <x v="0"/>
  </r>
  <r>
    <x v="5"/>
    <s v="Hatchback"/>
    <x v="168"/>
    <x v="1"/>
    <x v="1"/>
    <x v="0"/>
    <x v="1"/>
    <n v="12579"/>
    <x v="0"/>
  </r>
  <r>
    <x v="5"/>
    <s v="Hatchback"/>
    <x v="217"/>
    <x v="4"/>
    <x v="1"/>
    <x v="1"/>
    <x v="1"/>
    <n v="12500"/>
    <x v="1"/>
  </r>
  <r>
    <x v="4"/>
    <s v="Hatchback"/>
    <x v="218"/>
    <x v="3"/>
    <x v="1"/>
    <x v="0"/>
    <x v="1"/>
    <n v="12500"/>
    <x v="2"/>
  </r>
  <r>
    <x v="5"/>
    <s v="Hatchback"/>
    <x v="219"/>
    <x v="1"/>
    <x v="1"/>
    <x v="0"/>
    <x v="1"/>
    <n v="12499"/>
    <x v="3"/>
  </r>
  <r>
    <x v="7"/>
    <s v="Hatchback"/>
    <x v="220"/>
    <x v="3"/>
    <x v="0"/>
    <x v="0"/>
    <x v="1"/>
    <n v="12495"/>
    <x v="3"/>
  </r>
  <r>
    <x v="8"/>
    <s v="Hatchback"/>
    <x v="42"/>
    <x v="3"/>
    <x v="0"/>
    <x v="0"/>
    <x v="1"/>
    <n v="12495"/>
    <x v="3"/>
  </r>
  <r>
    <x v="7"/>
    <s v="Hatchback"/>
    <x v="221"/>
    <x v="3"/>
    <x v="0"/>
    <x v="0"/>
    <x v="1"/>
    <n v="12490"/>
    <x v="1"/>
  </r>
  <r>
    <x v="8"/>
    <s v="Hatchback"/>
    <x v="27"/>
    <x v="3"/>
    <x v="1"/>
    <x v="0"/>
    <x v="1"/>
    <n v="12490"/>
    <x v="1"/>
  </r>
  <r>
    <x v="6"/>
    <s v="Hatchback"/>
    <x v="222"/>
    <x v="1"/>
    <x v="0"/>
    <x v="0"/>
    <x v="0"/>
    <n v="12490"/>
    <x v="0"/>
  </r>
  <r>
    <x v="8"/>
    <s v="Hatchback"/>
    <x v="223"/>
    <x v="1"/>
    <x v="0"/>
    <x v="0"/>
    <x v="2"/>
    <n v="12449"/>
    <x v="3"/>
  </r>
  <r>
    <x v="5"/>
    <s v="Hatchback"/>
    <x v="224"/>
    <x v="4"/>
    <x v="1"/>
    <x v="1"/>
    <x v="1"/>
    <n v="12400"/>
    <x v="2"/>
  </r>
  <r>
    <x v="6"/>
    <s v="Hatchback"/>
    <x v="225"/>
    <x v="4"/>
    <x v="1"/>
    <x v="1"/>
    <x v="1"/>
    <n v="12400"/>
    <x v="1"/>
  </r>
  <r>
    <x v="4"/>
    <s v="Hatchback"/>
    <x v="226"/>
    <x v="3"/>
    <x v="1"/>
    <x v="0"/>
    <x v="0"/>
    <n v="12300"/>
    <x v="0"/>
  </r>
  <r>
    <x v="4"/>
    <s v="Hatchback"/>
    <x v="227"/>
    <x v="1"/>
    <x v="1"/>
    <x v="0"/>
    <x v="1"/>
    <n v="12300"/>
    <x v="1"/>
  </r>
  <r>
    <x v="5"/>
    <s v="Hatchback"/>
    <x v="228"/>
    <x v="3"/>
    <x v="1"/>
    <x v="0"/>
    <x v="1"/>
    <n v="12300"/>
    <x v="1"/>
  </r>
  <r>
    <x v="8"/>
    <s v="Hatchback"/>
    <x v="229"/>
    <x v="3"/>
    <x v="1"/>
    <x v="0"/>
    <x v="1"/>
    <n v="12200"/>
    <x v="3"/>
  </r>
  <r>
    <x v="6"/>
    <s v="Hatchback"/>
    <x v="230"/>
    <x v="3"/>
    <x v="1"/>
    <x v="0"/>
    <x v="2"/>
    <n v="12190"/>
    <x v="2"/>
  </r>
  <r>
    <x v="6"/>
    <s v="Hatchback"/>
    <x v="231"/>
    <x v="4"/>
    <x v="1"/>
    <x v="1"/>
    <x v="1"/>
    <n v="12180"/>
    <x v="3"/>
  </r>
  <r>
    <x v="8"/>
    <s v="Hatchback"/>
    <x v="136"/>
    <x v="3"/>
    <x v="1"/>
    <x v="0"/>
    <x v="1"/>
    <n v="12138"/>
    <x v="1"/>
  </r>
  <r>
    <x v="7"/>
    <s v="Hatchback"/>
    <x v="232"/>
    <x v="3"/>
    <x v="0"/>
    <x v="0"/>
    <x v="2"/>
    <n v="12100"/>
    <x v="3"/>
  </r>
  <r>
    <x v="6"/>
    <s v="Hatchback"/>
    <x v="233"/>
    <x v="3"/>
    <x v="1"/>
    <x v="0"/>
    <x v="1"/>
    <n v="12000"/>
    <x v="0"/>
  </r>
  <r>
    <x v="4"/>
    <s v="Hatchback"/>
    <x v="234"/>
    <x v="1"/>
    <x v="1"/>
    <x v="0"/>
    <x v="2"/>
    <n v="12000"/>
    <x v="3"/>
  </r>
  <r>
    <x v="5"/>
    <s v="Hatchback"/>
    <x v="235"/>
    <x v="3"/>
    <x v="1"/>
    <x v="0"/>
    <x v="1"/>
    <n v="12000"/>
    <x v="0"/>
  </r>
  <r>
    <x v="6"/>
    <s v="Hatchback"/>
    <x v="136"/>
    <x v="3"/>
    <x v="1"/>
    <x v="0"/>
    <x v="1"/>
    <n v="11999"/>
    <x v="0"/>
  </r>
  <r>
    <x v="4"/>
    <s v="Hatchback"/>
    <x v="236"/>
    <x v="3"/>
    <x v="1"/>
    <x v="0"/>
    <x v="0"/>
    <n v="11999"/>
    <x v="1"/>
  </r>
  <r>
    <x v="6"/>
    <s v="Hatchback"/>
    <x v="237"/>
    <x v="3"/>
    <x v="1"/>
    <x v="0"/>
    <x v="0"/>
    <n v="11998"/>
    <x v="2"/>
  </r>
  <r>
    <x v="6"/>
    <s v="Hatchback"/>
    <x v="238"/>
    <x v="1"/>
    <x v="1"/>
    <x v="0"/>
    <x v="1"/>
    <n v="11995"/>
    <x v="3"/>
  </r>
  <r>
    <x v="4"/>
    <s v="Hatchback"/>
    <x v="239"/>
    <x v="3"/>
    <x v="1"/>
    <x v="0"/>
    <x v="1"/>
    <n v="11995"/>
    <x v="3"/>
  </r>
  <r>
    <x v="7"/>
    <s v="Hatchback"/>
    <x v="240"/>
    <x v="3"/>
    <x v="0"/>
    <x v="0"/>
    <x v="0"/>
    <n v="11995"/>
    <x v="3"/>
  </r>
  <r>
    <x v="5"/>
    <s v="Hatchback"/>
    <x v="241"/>
    <x v="3"/>
    <x v="1"/>
    <x v="0"/>
    <x v="1"/>
    <n v="11995"/>
    <x v="1"/>
  </r>
  <r>
    <x v="5"/>
    <s v="Hatchback"/>
    <x v="242"/>
    <x v="4"/>
    <x v="1"/>
    <x v="1"/>
    <x v="0"/>
    <n v="11991"/>
    <x v="1"/>
  </r>
  <r>
    <x v="8"/>
    <s v="Hatchback"/>
    <x v="243"/>
    <x v="3"/>
    <x v="1"/>
    <x v="0"/>
    <x v="0"/>
    <n v="11990"/>
    <x v="0"/>
  </r>
  <r>
    <x v="8"/>
    <s v="Hatchback"/>
    <x v="244"/>
    <x v="4"/>
    <x v="0"/>
    <x v="1"/>
    <x v="0"/>
    <n v="11990"/>
    <x v="3"/>
  </r>
  <r>
    <x v="5"/>
    <s v="Hatchback"/>
    <x v="245"/>
    <x v="3"/>
    <x v="1"/>
    <x v="0"/>
    <x v="1"/>
    <n v="11990"/>
    <x v="2"/>
  </r>
  <r>
    <x v="4"/>
    <s v="Hatchback"/>
    <x v="246"/>
    <x v="1"/>
    <x v="1"/>
    <x v="0"/>
    <x v="1"/>
    <n v="11989"/>
    <x v="1"/>
  </r>
  <r>
    <x v="6"/>
    <s v="Hatchback"/>
    <x v="247"/>
    <x v="3"/>
    <x v="1"/>
    <x v="0"/>
    <x v="1"/>
    <n v="11979"/>
    <x v="0"/>
  </r>
  <r>
    <x v="5"/>
    <s v="Hatchback"/>
    <x v="133"/>
    <x v="1"/>
    <x v="1"/>
    <x v="0"/>
    <x v="0"/>
    <n v="11850"/>
    <x v="1"/>
  </r>
  <r>
    <x v="5"/>
    <s v="Hatchback"/>
    <x v="168"/>
    <x v="3"/>
    <x v="1"/>
    <x v="0"/>
    <x v="0"/>
    <n v="11840"/>
    <x v="1"/>
  </r>
  <r>
    <x v="6"/>
    <s v="Hatchback"/>
    <x v="248"/>
    <x v="3"/>
    <x v="1"/>
    <x v="0"/>
    <x v="1"/>
    <n v="11800"/>
    <x v="3"/>
  </r>
  <r>
    <x v="5"/>
    <s v="Hatchback"/>
    <x v="249"/>
    <x v="1"/>
    <x v="1"/>
    <x v="0"/>
    <x v="1"/>
    <n v="11799"/>
    <x v="2"/>
  </r>
  <r>
    <x v="8"/>
    <s v="Hatchback"/>
    <x v="250"/>
    <x v="3"/>
    <x v="1"/>
    <x v="0"/>
    <x v="1"/>
    <n v="11795"/>
    <x v="3"/>
  </r>
  <r>
    <x v="8"/>
    <s v="Hatchback"/>
    <x v="251"/>
    <x v="1"/>
    <x v="0"/>
    <x v="0"/>
    <x v="1"/>
    <n v="11795"/>
    <x v="1"/>
  </r>
  <r>
    <x v="7"/>
    <s v="Hatchback"/>
    <x v="252"/>
    <x v="3"/>
    <x v="0"/>
    <x v="0"/>
    <x v="2"/>
    <n v="11795"/>
    <x v="3"/>
  </r>
  <r>
    <x v="5"/>
    <s v="Hatchback"/>
    <x v="253"/>
    <x v="3"/>
    <x v="1"/>
    <x v="0"/>
    <x v="1"/>
    <n v="11790"/>
    <x v="0"/>
  </r>
  <r>
    <x v="6"/>
    <s v="Hatchback"/>
    <x v="254"/>
    <x v="3"/>
    <x v="1"/>
    <x v="0"/>
    <x v="1"/>
    <n v="11700"/>
    <x v="3"/>
  </r>
  <r>
    <x v="7"/>
    <s v="Hatchback"/>
    <x v="255"/>
    <x v="3"/>
    <x v="1"/>
    <x v="0"/>
    <x v="4"/>
    <n v="11695"/>
    <x v="0"/>
  </r>
  <r>
    <x v="5"/>
    <s v="Hatchback"/>
    <x v="256"/>
    <x v="4"/>
    <x v="1"/>
    <x v="1"/>
    <x v="0"/>
    <n v="11690"/>
    <x v="0"/>
  </r>
  <r>
    <x v="8"/>
    <s v="Hatchback"/>
    <x v="257"/>
    <x v="3"/>
    <x v="1"/>
    <x v="0"/>
    <x v="1"/>
    <n v="11620"/>
    <x v="1"/>
  </r>
  <r>
    <x v="6"/>
    <s v="Hatchback"/>
    <x v="258"/>
    <x v="3"/>
    <x v="1"/>
    <x v="0"/>
    <x v="1"/>
    <n v="11590"/>
    <x v="2"/>
  </r>
  <r>
    <x v="8"/>
    <s v="Hatchback"/>
    <x v="259"/>
    <x v="3"/>
    <x v="0"/>
    <x v="0"/>
    <x v="1"/>
    <n v="11500"/>
    <x v="3"/>
  </r>
  <r>
    <x v="6"/>
    <s v="Hatchback"/>
    <x v="260"/>
    <x v="3"/>
    <x v="1"/>
    <x v="0"/>
    <x v="1"/>
    <n v="11500"/>
    <x v="3"/>
  </r>
  <r>
    <x v="8"/>
    <s v="Hatchback"/>
    <x v="261"/>
    <x v="3"/>
    <x v="0"/>
    <x v="0"/>
    <x v="3"/>
    <n v="11499"/>
    <x v="3"/>
  </r>
  <r>
    <x v="7"/>
    <s v="Hatchback"/>
    <x v="262"/>
    <x v="3"/>
    <x v="1"/>
    <x v="0"/>
    <x v="0"/>
    <n v="11499"/>
    <x v="1"/>
  </r>
  <r>
    <x v="8"/>
    <s v="Hatchback"/>
    <x v="250"/>
    <x v="4"/>
    <x v="1"/>
    <x v="1"/>
    <x v="1"/>
    <n v="11495"/>
    <x v="1"/>
  </r>
  <r>
    <x v="4"/>
    <s v="Hatchback"/>
    <x v="263"/>
    <x v="3"/>
    <x v="1"/>
    <x v="0"/>
    <x v="1"/>
    <n v="11495"/>
    <x v="0"/>
  </r>
  <r>
    <x v="8"/>
    <s v="Hatchback"/>
    <x v="264"/>
    <x v="3"/>
    <x v="1"/>
    <x v="0"/>
    <x v="1"/>
    <n v="11495"/>
    <x v="3"/>
  </r>
  <r>
    <x v="5"/>
    <s v="Hatchback"/>
    <x v="157"/>
    <x v="1"/>
    <x v="1"/>
    <x v="0"/>
    <x v="0"/>
    <n v="11495"/>
    <x v="2"/>
  </r>
  <r>
    <x v="8"/>
    <s v="Hatchback"/>
    <x v="265"/>
    <x v="3"/>
    <x v="1"/>
    <x v="0"/>
    <x v="1"/>
    <n v="11494"/>
    <x v="1"/>
  </r>
  <r>
    <x v="6"/>
    <s v="Hatchback"/>
    <x v="266"/>
    <x v="1"/>
    <x v="1"/>
    <x v="0"/>
    <x v="1"/>
    <n v="11490"/>
    <x v="0"/>
  </r>
  <r>
    <x v="8"/>
    <s v="Hatchback"/>
    <x v="168"/>
    <x v="3"/>
    <x v="1"/>
    <x v="0"/>
    <x v="1"/>
    <n v="11490"/>
    <x v="1"/>
  </r>
  <r>
    <x v="8"/>
    <s v="Hatchback"/>
    <x v="267"/>
    <x v="3"/>
    <x v="1"/>
    <x v="0"/>
    <x v="0"/>
    <n v="11490"/>
    <x v="1"/>
  </r>
  <r>
    <x v="7"/>
    <s v="Hatchback"/>
    <x v="268"/>
    <x v="3"/>
    <x v="0"/>
    <x v="0"/>
    <x v="2"/>
    <n v="11489"/>
    <x v="3"/>
  </r>
  <r>
    <x v="8"/>
    <s v="Hatchback"/>
    <x v="243"/>
    <x v="4"/>
    <x v="1"/>
    <x v="1"/>
    <x v="2"/>
    <n v="11454"/>
    <x v="2"/>
  </r>
  <r>
    <x v="6"/>
    <s v="Hatchback"/>
    <x v="269"/>
    <x v="3"/>
    <x v="1"/>
    <x v="0"/>
    <x v="4"/>
    <n v="11450"/>
    <x v="3"/>
  </r>
  <r>
    <x v="6"/>
    <s v="Hatchback"/>
    <x v="270"/>
    <x v="4"/>
    <x v="1"/>
    <x v="1"/>
    <x v="1"/>
    <n v="11399"/>
    <x v="1"/>
  </r>
  <r>
    <x v="5"/>
    <s v="Hatchback"/>
    <x v="271"/>
    <x v="4"/>
    <x v="1"/>
    <x v="1"/>
    <x v="1"/>
    <n v="11390"/>
    <x v="3"/>
  </r>
  <r>
    <x v="6"/>
    <s v="Hatchback"/>
    <x v="272"/>
    <x v="3"/>
    <x v="1"/>
    <x v="0"/>
    <x v="4"/>
    <n v="11300"/>
    <x v="0"/>
  </r>
  <r>
    <x v="5"/>
    <s v="Hatchback"/>
    <x v="273"/>
    <x v="3"/>
    <x v="1"/>
    <x v="0"/>
    <x v="1"/>
    <n v="11300"/>
    <x v="3"/>
  </r>
  <r>
    <x v="8"/>
    <s v="Hatchback"/>
    <x v="274"/>
    <x v="4"/>
    <x v="1"/>
    <x v="1"/>
    <x v="2"/>
    <n v="11299"/>
    <x v="0"/>
  </r>
  <r>
    <x v="7"/>
    <s v="Hatchback"/>
    <x v="275"/>
    <x v="3"/>
    <x v="1"/>
    <x v="0"/>
    <x v="0"/>
    <n v="11295"/>
    <x v="0"/>
  </r>
  <r>
    <x v="6"/>
    <s v="Hatchback"/>
    <x v="276"/>
    <x v="3"/>
    <x v="1"/>
    <x v="0"/>
    <x v="0"/>
    <n v="11280"/>
    <x v="1"/>
  </r>
  <r>
    <x v="7"/>
    <s v="Hatchback"/>
    <x v="277"/>
    <x v="3"/>
    <x v="0"/>
    <x v="0"/>
    <x v="2"/>
    <n v="11275"/>
    <x v="2"/>
  </r>
  <r>
    <x v="7"/>
    <s v="Hatchback"/>
    <x v="278"/>
    <x v="3"/>
    <x v="1"/>
    <x v="0"/>
    <x v="4"/>
    <n v="11268"/>
    <x v="3"/>
  </r>
  <r>
    <x v="6"/>
    <s v="Hatchback"/>
    <x v="279"/>
    <x v="1"/>
    <x v="1"/>
    <x v="0"/>
    <x v="1"/>
    <n v="11200"/>
    <x v="3"/>
  </r>
  <r>
    <x v="6"/>
    <s v="Hatchback"/>
    <x v="280"/>
    <x v="3"/>
    <x v="1"/>
    <x v="0"/>
    <x v="1"/>
    <n v="11200"/>
    <x v="3"/>
  </r>
  <r>
    <x v="8"/>
    <s v="Hatchback"/>
    <x v="281"/>
    <x v="3"/>
    <x v="0"/>
    <x v="0"/>
    <x v="1"/>
    <n v="11183"/>
    <x v="1"/>
  </r>
  <r>
    <x v="7"/>
    <s v="Hatchback"/>
    <x v="282"/>
    <x v="2"/>
    <x v="1"/>
    <x v="1"/>
    <x v="1"/>
    <n v="11115"/>
    <x v="1"/>
  </r>
  <r>
    <x v="5"/>
    <s v="Hatchback"/>
    <x v="283"/>
    <x v="4"/>
    <x v="1"/>
    <x v="1"/>
    <x v="1"/>
    <n v="11099"/>
    <x v="0"/>
  </r>
  <r>
    <x v="6"/>
    <s v="Hatchback"/>
    <x v="284"/>
    <x v="1"/>
    <x v="1"/>
    <x v="0"/>
    <x v="2"/>
    <n v="11099"/>
    <x v="3"/>
  </r>
  <r>
    <x v="7"/>
    <s v="Hatchback"/>
    <x v="285"/>
    <x v="3"/>
    <x v="0"/>
    <x v="0"/>
    <x v="5"/>
    <n v="11000"/>
    <x v="2"/>
  </r>
  <r>
    <x v="8"/>
    <s v="Hatchback"/>
    <x v="286"/>
    <x v="3"/>
    <x v="1"/>
    <x v="0"/>
    <x v="2"/>
    <n v="10999"/>
    <x v="1"/>
  </r>
  <r>
    <x v="6"/>
    <s v="Hatchback"/>
    <x v="287"/>
    <x v="4"/>
    <x v="1"/>
    <x v="1"/>
    <x v="1"/>
    <n v="10995"/>
    <x v="0"/>
  </r>
  <r>
    <x v="5"/>
    <s v="Hatchback"/>
    <x v="288"/>
    <x v="3"/>
    <x v="1"/>
    <x v="0"/>
    <x v="0"/>
    <n v="10995"/>
    <x v="1"/>
  </r>
  <r>
    <x v="6"/>
    <s v="Hatchback"/>
    <x v="289"/>
    <x v="4"/>
    <x v="1"/>
    <x v="1"/>
    <x v="1"/>
    <n v="10995"/>
    <x v="1"/>
  </r>
  <r>
    <x v="8"/>
    <s v="Hatchback"/>
    <x v="290"/>
    <x v="3"/>
    <x v="1"/>
    <x v="0"/>
    <x v="2"/>
    <n v="10995"/>
    <x v="3"/>
  </r>
  <r>
    <x v="7"/>
    <s v="Hatchback"/>
    <x v="291"/>
    <x v="5"/>
    <x v="1"/>
    <x v="0"/>
    <x v="2"/>
    <n v="10995"/>
    <x v="2"/>
  </r>
  <r>
    <x v="7"/>
    <s v="Hatchback"/>
    <x v="212"/>
    <x v="3"/>
    <x v="1"/>
    <x v="0"/>
    <x v="4"/>
    <n v="10995"/>
    <x v="3"/>
  </r>
  <r>
    <x v="5"/>
    <s v="Hatchback"/>
    <x v="292"/>
    <x v="1"/>
    <x v="1"/>
    <x v="0"/>
    <x v="1"/>
    <n v="10995"/>
    <x v="1"/>
  </r>
  <r>
    <x v="7"/>
    <s v="Hatchback"/>
    <x v="293"/>
    <x v="4"/>
    <x v="1"/>
    <x v="1"/>
    <x v="4"/>
    <n v="10990"/>
    <x v="3"/>
  </r>
  <r>
    <x v="6"/>
    <s v="Hatchback"/>
    <x v="294"/>
    <x v="1"/>
    <x v="1"/>
    <x v="0"/>
    <x v="1"/>
    <n v="10990"/>
    <x v="0"/>
  </r>
  <r>
    <x v="5"/>
    <s v="Hatchback"/>
    <x v="295"/>
    <x v="4"/>
    <x v="1"/>
    <x v="1"/>
    <x v="0"/>
    <n v="10990"/>
    <x v="3"/>
  </r>
  <r>
    <x v="4"/>
    <s v="Hatchback"/>
    <x v="296"/>
    <x v="1"/>
    <x v="1"/>
    <x v="0"/>
    <x v="0"/>
    <n v="10980"/>
    <x v="0"/>
  </r>
  <r>
    <x v="6"/>
    <s v="Hatchback"/>
    <x v="297"/>
    <x v="3"/>
    <x v="1"/>
    <x v="0"/>
    <x v="1"/>
    <n v="10950"/>
    <x v="0"/>
  </r>
  <r>
    <x v="6"/>
    <s v="Hatchback"/>
    <x v="298"/>
    <x v="1"/>
    <x v="1"/>
    <x v="0"/>
    <x v="2"/>
    <n v="10890"/>
    <x v="1"/>
  </r>
  <r>
    <x v="7"/>
    <s v="Hatchback"/>
    <x v="156"/>
    <x v="3"/>
    <x v="0"/>
    <x v="0"/>
    <x v="1"/>
    <n v="10890"/>
    <x v="2"/>
  </r>
  <r>
    <x v="8"/>
    <s v="Hatchback"/>
    <x v="79"/>
    <x v="3"/>
    <x v="1"/>
    <x v="0"/>
    <x v="2"/>
    <n v="10888"/>
    <x v="3"/>
  </r>
  <r>
    <x v="8"/>
    <s v="Hatchback"/>
    <x v="299"/>
    <x v="3"/>
    <x v="1"/>
    <x v="0"/>
    <x v="1"/>
    <n v="10799"/>
    <x v="3"/>
  </r>
  <r>
    <x v="6"/>
    <s v="Hatchback"/>
    <x v="300"/>
    <x v="3"/>
    <x v="1"/>
    <x v="0"/>
    <x v="0"/>
    <n v="10790"/>
    <x v="3"/>
  </r>
  <r>
    <x v="5"/>
    <s v="Hatchback"/>
    <x v="301"/>
    <x v="1"/>
    <x v="0"/>
    <x v="0"/>
    <x v="1"/>
    <n v="10779"/>
    <x v="1"/>
  </r>
  <r>
    <x v="6"/>
    <s v="Hatchback"/>
    <x v="302"/>
    <x v="1"/>
    <x v="1"/>
    <x v="0"/>
    <x v="2"/>
    <n v="10755"/>
    <x v="1"/>
  </r>
  <r>
    <x v="6"/>
    <s v="Hatchback"/>
    <x v="303"/>
    <x v="4"/>
    <x v="0"/>
    <x v="1"/>
    <x v="0"/>
    <n v="10750"/>
    <x v="0"/>
  </r>
  <r>
    <x v="6"/>
    <s v="Hatchback"/>
    <x v="304"/>
    <x v="1"/>
    <x v="1"/>
    <x v="0"/>
    <x v="2"/>
    <n v="10700"/>
    <x v="3"/>
  </r>
  <r>
    <x v="6"/>
    <s v="Hatchback"/>
    <x v="305"/>
    <x v="1"/>
    <x v="1"/>
    <x v="0"/>
    <x v="0"/>
    <n v="10699"/>
    <x v="2"/>
  </r>
  <r>
    <x v="7"/>
    <s v="Hatchback"/>
    <x v="306"/>
    <x v="4"/>
    <x v="1"/>
    <x v="1"/>
    <x v="1"/>
    <n v="10695"/>
    <x v="1"/>
  </r>
  <r>
    <x v="7"/>
    <s v="Hatchback"/>
    <x v="307"/>
    <x v="3"/>
    <x v="0"/>
    <x v="0"/>
    <x v="1"/>
    <n v="10598"/>
    <x v="0"/>
  </r>
  <r>
    <x v="5"/>
    <s v="Hatchback"/>
    <x v="308"/>
    <x v="3"/>
    <x v="1"/>
    <x v="0"/>
    <x v="0"/>
    <n v="10579"/>
    <x v="1"/>
  </r>
  <r>
    <x v="8"/>
    <s v="Hatchback"/>
    <x v="309"/>
    <x v="1"/>
    <x v="1"/>
    <x v="0"/>
    <x v="1"/>
    <n v="10575"/>
    <x v="1"/>
  </r>
  <r>
    <x v="8"/>
    <s v="Hatchback"/>
    <x v="310"/>
    <x v="4"/>
    <x v="1"/>
    <x v="1"/>
    <x v="1"/>
    <n v="10500"/>
    <x v="3"/>
  </r>
  <r>
    <x v="8"/>
    <s v="Hatchback"/>
    <x v="189"/>
    <x v="1"/>
    <x v="1"/>
    <x v="0"/>
    <x v="1"/>
    <n v="10499"/>
    <x v="2"/>
  </r>
  <r>
    <x v="4"/>
    <s v="Hatchback"/>
    <x v="311"/>
    <x v="1"/>
    <x v="1"/>
    <x v="0"/>
    <x v="0"/>
    <n v="10495"/>
    <x v="3"/>
  </r>
  <r>
    <x v="6"/>
    <s v="Hatchback"/>
    <x v="156"/>
    <x v="1"/>
    <x v="1"/>
    <x v="0"/>
    <x v="0"/>
    <n v="10495"/>
    <x v="1"/>
  </r>
  <r>
    <x v="5"/>
    <s v="Hatchback"/>
    <x v="312"/>
    <x v="4"/>
    <x v="1"/>
    <x v="1"/>
    <x v="0"/>
    <n v="10490"/>
    <x v="3"/>
  </r>
  <r>
    <x v="8"/>
    <s v="Hatchback"/>
    <x v="189"/>
    <x v="3"/>
    <x v="1"/>
    <x v="0"/>
    <x v="1"/>
    <n v="10490"/>
    <x v="0"/>
  </r>
  <r>
    <x v="8"/>
    <s v="Hatchback"/>
    <x v="313"/>
    <x v="1"/>
    <x v="1"/>
    <x v="0"/>
    <x v="1"/>
    <n v="10490"/>
    <x v="3"/>
  </r>
  <r>
    <x v="6"/>
    <s v="Hatchback"/>
    <x v="314"/>
    <x v="3"/>
    <x v="1"/>
    <x v="0"/>
    <x v="0"/>
    <n v="10480"/>
    <x v="0"/>
  </r>
  <r>
    <x v="8"/>
    <s v="Hatchback"/>
    <x v="315"/>
    <x v="3"/>
    <x v="1"/>
    <x v="0"/>
    <x v="1"/>
    <n v="10431"/>
    <x v="0"/>
  </r>
  <r>
    <x v="7"/>
    <s v="Hatchback"/>
    <x v="316"/>
    <x v="3"/>
    <x v="1"/>
    <x v="0"/>
    <x v="1"/>
    <n v="10403"/>
    <x v="1"/>
  </r>
  <r>
    <x v="8"/>
    <s v="Hatchback"/>
    <x v="317"/>
    <x v="1"/>
    <x v="1"/>
    <x v="0"/>
    <x v="0"/>
    <n v="10350"/>
    <x v="2"/>
  </r>
  <r>
    <x v="8"/>
    <s v="Hatchback"/>
    <x v="318"/>
    <x v="1"/>
    <x v="1"/>
    <x v="0"/>
    <x v="1"/>
    <n v="10345"/>
    <x v="3"/>
  </r>
  <r>
    <x v="6"/>
    <s v="Hatchback"/>
    <x v="319"/>
    <x v="1"/>
    <x v="1"/>
    <x v="0"/>
    <x v="1"/>
    <n v="10299"/>
    <x v="3"/>
  </r>
  <r>
    <x v="6"/>
    <s v="Hatchback"/>
    <x v="164"/>
    <x v="1"/>
    <x v="1"/>
    <x v="0"/>
    <x v="1"/>
    <n v="10299"/>
    <x v="3"/>
  </r>
  <r>
    <x v="6"/>
    <s v="Hatchback"/>
    <x v="320"/>
    <x v="4"/>
    <x v="1"/>
    <x v="1"/>
    <x v="1"/>
    <n v="10294"/>
    <x v="1"/>
  </r>
  <r>
    <x v="8"/>
    <s v="Hatchback"/>
    <x v="156"/>
    <x v="1"/>
    <x v="1"/>
    <x v="0"/>
    <x v="1"/>
    <n v="10279"/>
    <x v="1"/>
  </r>
  <r>
    <x v="8"/>
    <s v="Hatchback"/>
    <x v="321"/>
    <x v="3"/>
    <x v="1"/>
    <x v="0"/>
    <x v="1"/>
    <n v="10250"/>
    <x v="0"/>
  </r>
  <r>
    <x v="8"/>
    <s v="Hatchback"/>
    <x v="27"/>
    <x v="3"/>
    <x v="1"/>
    <x v="0"/>
    <x v="0"/>
    <n v="10250"/>
    <x v="3"/>
  </r>
  <r>
    <x v="4"/>
    <s v="Hatchback"/>
    <x v="322"/>
    <x v="4"/>
    <x v="1"/>
    <x v="1"/>
    <x v="0"/>
    <n v="10094"/>
    <x v="2"/>
  </r>
  <r>
    <x v="7"/>
    <s v="Hatchback"/>
    <x v="323"/>
    <x v="3"/>
    <x v="1"/>
    <x v="0"/>
    <x v="1"/>
    <n v="10000"/>
    <x v="1"/>
  </r>
  <r>
    <x v="8"/>
    <s v="Hatchback"/>
    <x v="324"/>
    <x v="3"/>
    <x v="1"/>
    <x v="0"/>
    <x v="1"/>
    <n v="10000"/>
    <x v="0"/>
  </r>
  <r>
    <x v="6"/>
    <s v="Hatchback"/>
    <x v="325"/>
    <x v="1"/>
    <x v="1"/>
    <x v="0"/>
    <x v="1"/>
    <n v="10000"/>
    <x v="1"/>
  </r>
  <r>
    <x v="8"/>
    <s v="Hatchback"/>
    <x v="326"/>
    <x v="1"/>
    <x v="1"/>
    <x v="0"/>
    <x v="1"/>
    <n v="9999"/>
    <x v="1"/>
  </r>
  <r>
    <x v="8"/>
    <s v="Hatchback"/>
    <x v="327"/>
    <x v="3"/>
    <x v="1"/>
    <x v="0"/>
    <x v="1"/>
    <n v="9995"/>
    <x v="3"/>
  </r>
  <r>
    <x v="6"/>
    <s v="Hatchback"/>
    <x v="189"/>
    <x v="3"/>
    <x v="1"/>
    <x v="0"/>
    <x v="2"/>
    <n v="9995"/>
    <x v="2"/>
  </r>
  <r>
    <x v="8"/>
    <s v="Hatchback"/>
    <x v="328"/>
    <x v="3"/>
    <x v="1"/>
    <x v="0"/>
    <x v="1"/>
    <n v="9995"/>
    <x v="3"/>
  </r>
  <r>
    <x v="8"/>
    <s v="Hatchback"/>
    <x v="329"/>
    <x v="3"/>
    <x v="1"/>
    <x v="0"/>
    <x v="2"/>
    <n v="9995"/>
    <x v="1"/>
  </r>
  <r>
    <x v="8"/>
    <s v="Hatchback"/>
    <x v="330"/>
    <x v="3"/>
    <x v="1"/>
    <x v="0"/>
    <x v="1"/>
    <n v="9991"/>
    <x v="3"/>
  </r>
  <r>
    <x v="8"/>
    <s v="Hatchback"/>
    <x v="242"/>
    <x v="3"/>
    <x v="1"/>
    <x v="0"/>
    <x v="1"/>
    <n v="9990"/>
    <x v="0"/>
  </r>
  <r>
    <x v="7"/>
    <s v="Hatchback"/>
    <x v="331"/>
    <x v="3"/>
    <x v="1"/>
    <x v="0"/>
    <x v="1"/>
    <n v="9990"/>
    <x v="3"/>
  </r>
  <r>
    <x v="6"/>
    <s v="Hatchback"/>
    <x v="332"/>
    <x v="4"/>
    <x v="1"/>
    <x v="1"/>
    <x v="1"/>
    <n v="9990"/>
    <x v="0"/>
  </r>
  <r>
    <x v="8"/>
    <s v="Hatchback"/>
    <x v="333"/>
    <x v="3"/>
    <x v="1"/>
    <x v="0"/>
    <x v="1"/>
    <n v="9990"/>
    <x v="0"/>
  </r>
  <r>
    <x v="6"/>
    <s v="Hatchback"/>
    <x v="262"/>
    <x v="1"/>
    <x v="1"/>
    <x v="0"/>
    <x v="1"/>
    <n v="9990"/>
    <x v="1"/>
  </r>
  <r>
    <x v="8"/>
    <s v="Hatchback"/>
    <x v="334"/>
    <x v="4"/>
    <x v="1"/>
    <x v="1"/>
    <x v="0"/>
    <n v="9978"/>
    <x v="2"/>
  </r>
  <r>
    <x v="5"/>
    <s v="Hatchback"/>
    <x v="335"/>
    <x v="3"/>
    <x v="1"/>
    <x v="0"/>
    <x v="2"/>
    <n v="9975"/>
    <x v="3"/>
  </r>
  <r>
    <x v="7"/>
    <s v="Hatchback"/>
    <x v="336"/>
    <x v="3"/>
    <x v="1"/>
    <x v="0"/>
    <x v="0"/>
    <n v="9950"/>
    <x v="3"/>
  </r>
  <r>
    <x v="5"/>
    <s v="Hatchback"/>
    <x v="337"/>
    <x v="1"/>
    <x v="1"/>
    <x v="0"/>
    <x v="0"/>
    <n v="9900"/>
    <x v="3"/>
  </r>
  <r>
    <x v="6"/>
    <s v="Hatchback"/>
    <x v="338"/>
    <x v="4"/>
    <x v="1"/>
    <x v="1"/>
    <x v="1"/>
    <n v="9850"/>
    <x v="1"/>
  </r>
  <r>
    <x v="5"/>
    <s v="Hatchback"/>
    <x v="339"/>
    <x v="4"/>
    <x v="1"/>
    <x v="1"/>
    <x v="1"/>
    <n v="9799"/>
    <x v="1"/>
  </r>
  <r>
    <x v="7"/>
    <s v="Hatchback"/>
    <x v="340"/>
    <x v="4"/>
    <x v="1"/>
    <x v="1"/>
    <x v="4"/>
    <n v="9750"/>
    <x v="0"/>
  </r>
  <r>
    <x v="8"/>
    <s v="Hatchback"/>
    <x v="178"/>
    <x v="1"/>
    <x v="1"/>
    <x v="0"/>
    <x v="4"/>
    <n v="9699"/>
    <x v="3"/>
  </r>
  <r>
    <x v="8"/>
    <s v="Hatchback"/>
    <x v="341"/>
    <x v="1"/>
    <x v="1"/>
    <x v="0"/>
    <x v="1"/>
    <n v="9690"/>
    <x v="2"/>
  </r>
  <r>
    <x v="8"/>
    <s v="Hatchback"/>
    <x v="342"/>
    <x v="4"/>
    <x v="1"/>
    <x v="1"/>
    <x v="1"/>
    <n v="9660"/>
    <x v="1"/>
  </r>
  <r>
    <x v="8"/>
    <s v="Hatchback"/>
    <x v="343"/>
    <x v="4"/>
    <x v="1"/>
    <x v="1"/>
    <x v="1"/>
    <n v="9595"/>
    <x v="0"/>
  </r>
  <r>
    <x v="8"/>
    <s v="Hatchback"/>
    <x v="344"/>
    <x v="1"/>
    <x v="1"/>
    <x v="0"/>
    <x v="1"/>
    <n v="9590"/>
    <x v="1"/>
  </r>
  <r>
    <x v="8"/>
    <s v="Hatchback"/>
    <x v="345"/>
    <x v="3"/>
    <x v="1"/>
    <x v="0"/>
    <x v="2"/>
    <n v="9499"/>
    <x v="1"/>
  </r>
  <r>
    <x v="5"/>
    <s v="Hatchback"/>
    <x v="346"/>
    <x v="3"/>
    <x v="1"/>
    <x v="0"/>
    <x v="1"/>
    <n v="9495"/>
    <x v="3"/>
  </r>
  <r>
    <x v="8"/>
    <s v="Hatchback"/>
    <x v="347"/>
    <x v="1"/>
    <x v="1"/>
    <x v="0"/>
    <x v="1"/>
    <n v="9495"/>
    <x v="2"/>
  </r>
  <r>
    <x v="6"/>
    <s v="Hatchback"/>
    <x v="178"/>
    <x v="3"/>
    <x v="1"/>
    <x v="0"/>
    <x v="0"/>
    <n v="9490"/>
    <x v="3"/>
  </r>
  <r>
    <x v="8"/>
    <s v="Hatchback"/>
    <x v="250"/>
    <x v="5"/>
    <x v="1"/>
    <x v="0"/>
    <x v="1"/>
    <n v="9490"/>
    <x v="1"/>
  </r>
  <r>
    <x v="7"/>
    <s v="Hatchback"/>
    <x v="259"/>
    <x v="3"/>
    <x v="1"/>
    <x v="0"/>
    <x v="0"/>
    <n v="9480"/>
    <x v="3"/>
  </r>
  <r>
    <x v="8"/>
    <s v="Hatchback"/>
    <x v="348"/>
    <x v="4"/>
    <x v="1"/>
    <x v="1"/>
    <x v="1"/>
    <n v="9450"/>
    <x v="0"/>
  </r>
  <r>
    <x v="7"/>
    <s v="Hatchback"/>
    <x v="349"/>
    <x v="4"/>
    <x v="1"/>
    <x v="1"/>
    <x v="1"/>
    <n v="9395"/>
    <x v="3"/>
  </r>
  <r>
    <x v="7"/>
    <s v="Hatchback"/>
    <x v="350"/>
    <x v="3"/>
    <x v="1"/>
    <x v="0"/>
    <x v="1"/>
    <n v="9395"/>
    <x v="0"/>
  </r>
  <r>
    <x v="8"/>
    <s v="Hatchback"/>
    <x v="351"/>
    <x v="3"/>
    <x v="1"/>
    <x v="0"/>
    <x v="1"/>
    <n v="9375"/>
    <x v="0"/>
  </r>
  <r>
    <x v="7"/>
    <s v="Hatchback"/>
    <x v="352"/>
    <x v="4"/>
    <x v="1"/>
    <x v="1"/>
    <x v="2"/>
    <n v="9350"/>
    <x v="1"/>
  </r>
  <r>
    <x v="8"/>
    <s v="Hatchback"/>
    <x v="353"/>
    <x v="1"/>
    <x v="1"/>
    <x v="0"/>
    <x v="1"/>
    <n v="9300"/>
    <x v="2"/>
  </r>
  <r>
    <x v="5"/>
    <s v="Hatchback"/>
    <x v="354"/>
    <x v="3"/>
    <x v="1"/>
    <x v="0"/>
    <x v="0"/>
    <n v="9300"/>
    <x v="3"/>
  </r>
  <r>
    <x v="8"/>
    <s v="Hatchback"/>
    <x v="355"/>
    <x v="3"/>
    <x v="1"/>
    <x v="0"/>
    <x v="1"/>
    <n v="9299"/>
    <x v="3"/>
  </r>
  <r>
    <x v="5"/>
    <s v="Hatchback"/>
    <x v="356"/>
    <x v="3"/>
    <x v="1"/>
    <x v="0"/>
    <x v="0"/>
    <n v="9250"/>
    <x v="3"/>
  </r>
  <r>
    <x v="8"/>
    <s v="Hatchback"/>
    <x v="357"/>
    <x v="4"/>
    <x v="1"/>
    <x v="1"/>
    <x v="0"/>
    <n v="9250"/>
    <x v="1"/>
  </r>
  <r>
    <x v="7"/>
    <s v="Hatchback"/>
    <x v="358"/>
    <x v="3"/>
    <x v="1"/>
    <x v="0"/>
    <x v="1"/>
    <n v="9050"/>
    <x v="1"/>
  </r>
  <r>
    <x v="7"/>
    <s v="Hatchback"/>
    <x v="359"/>
    <x v="4"/>
    <x v="1"/>
    <x v="1"/>
    <x v="1"/>
    <n v="9000"/>
    <x v="0"/>
  </r>
  <r>
    <x v="6"/>
    <s v="Hatchback"/>
    <x v="360"/>
    <x v="3"/>
    <x v="1"/>
    <x v="0"/>
    <x v="0"/>
    <n v="9000"/>
    <x v="3"/>
  </r>
  <r>
    <x v="6"/>
    <s v="Hatchback"/>
    <x v="361"/>
    <x v="1"/>
    <x v="1"/>
    <x v="0"/>
    <x v="1"/>
    <n v="8995"/>
    <x v="2"/>
  </r>
  <r>
    <x v="8"/>
    <s v="Hatchback"/>
    <x v="259"/>
    <x v="4"/>
    <x v="1"/>
    <x v="1"/>
    <x v="1"/>
    <n v="8995"/>
    <x v="1"/>
  </r>
  <r>
    <x v="8"/>
    <s v="Hatchback"/>
    <x v="362"/>
    <x v="1"/>
    <x v="0"/>
    <x v="0"/>
    <x v="0"/>
    <n v="8994"/>
    <x v="0"/>
  </r>
  <r>
    <x v="6"/>
    <s v="Hatchback"/>
    <x v="363"/>
    <x v="1"/>
    <x v="1"/>
    <x v="0"/>
    <x v="1"/>
    <n v="8990"/>
    <x v="1"/>
  </r>
  <r>
    <x v="6"/>
    <s v="Hatchback"/>
    <x v="364"/>
    <x v="4"/>
    <x v="1"/>
    <x v="1"/>
    <x v="1"/>
    <n v="8980"/>
    <x v="1"/>
  </r>
  <r>
    <x v="8"/>
    <s v="Hatchback"/>
    <x v="365"/>
    <x v="4"/>
    <x v="1"/>
    <x v="1"/>
    <x v="1"/>
    <n v="8950"/>
    <x v="3"/>
  </r>
  <r>
    <x v="6"/>
    <s v="Hatchback"/>
    <x v="357"/>
    <x v="3"/>
    <x v="1"/>
    <x v="0"/>
    <x v="2"/>
    <n v="8895"/>
    <x v="2"/>
  </r>
  <r>
    <x v="8"/>
    <s v="Hatchback"/>
    <x v="366"/>
    <x v="4"/>
    <x v="1"/>
    <x v="1"/>
    <x v="1"/>
    <n v="8895"/>
    <x v="3"/>
  </r>
  <r>
    <x v="8"/>
    <s v="Hatchback"/>
    <x v="367"/>
    <x v="4"/>
    <x v="1"/>
    <x v="1"/>
    <x v="1"/>
    <n v="8850"/>
    <x v="1"/>
  </r>
  <r>
    <x v="8"/>
    <s v="Hatchback"/>
    <x v="235"/>
    <x v="3"/>
    <x v="1"/>
    <x v="0"/>
    <x v="2"/>
    <n v="8850"/>
    <x v="3"/>
  </r>
  <r>
    <x v="7"/>
    <s v="Hatchback"/>
    <x v="368"/>
    <x v="4"/>
    <x v="1"/>
    <x v="1"/>
    <x v="2"/>
    <n v="8790"/>
    <x v="0"/>
  </r>
  <r>
    <x v="8"/>
    <s v="Hatchback"/>
    <x v="369"/>
    <x v="1"/>
    <x v="1"/>
    <x v="0"/>
    <x v="1"/>
    <n v="8750"/>
    <x v="3"/>
  </r>
  <r>
    <x v="8"/>
    <s v="Hatchback"/>
    <x v="370"/>
    <x v="2"/>
    <x v="1"/>
    <x v="1"/>
    <x v="2"/>
    <n v="8700"/>
    <x v="0"/>
  </r>
  <r>
    <x v="8"/>
    <s v="Hatchback"/>
    <x v="371"/>
    <x v="3"/>
    <x v="1"/>
    <x v="0"/>
    <x v="1"/>
    <n v="8695"/>
    <x v="0"/>
  </r>
  <r>
    <x v="7"/>
    <s v="Hatchback"/>
    <x v="372"/>
    <x v="4"/>
    <x v="1"/>
    <x v="1"/>
    <x v="2"/>
    <n v="8695"/>
    <x v="1"/>
  </r>
  <r>
    <x v="6"/>
    <s v="Hatchback"/>
    <x v="373"/>
    <x v="4"/>
    <x v="1"/>
    <x v="1"/>
    <x v="0"/>
    <n v="8690"/>
    <x v="2"/>
  </r>
  <r>
    <x v="8"/>
    <s v="Hatchback"/>
    <x v="374"/>
    <x v="4"/>
    <x v="1"/>
    <x v="1"/>
    <x v="1"/>
    <n v="8600"/>
    <x v="3"/>
  </r>
  <r>
    <x v="7"/>
    <s v="Hatchback"/>
    <x v="375"/>
    <x v="4"/>
    <x v="1"/>
    <x v="1"/>
    <x v="0"/>
    <n v="8595"/>
    <x v="3"/>
  </r>
  <r>
    <x v="7"/>
    <s v="Hatchback"/>
    <x v="376"/>
    <x v="3"/>
    <x v="1"/>
    <x v="0"/>
    <x v="1"/>
    <n v="8500"/>
    <x v="3"/>
  </r>
  <r>
    <x v="8"/>
    <s v="Hatchback"/>
    <x v="310"/>
    <x v="3"/>
    <x v="1"/>
    <x v="0"/>
    <x v="4"/>
    <n v="8500"/>
    <x v="1"/>
  </r>
  <r>
    <x v="8"/>
    <s v="Hatchback"/>
    <x v="178"/>
    <x v="4"/>
    <x v="1"/>
    <x v="1"/>
    <x v="4"/>
    <n v="8499"/>
    <x v="1"/>
  </r>
  <r>
    <x v="7"/>
    <s v="Hatchback"/>
    <x v="243"/>
    <x v="3"/>
    <x v="1"/>
    <x v="0"/>
    <x v="1"/>
    <n v="8499"/>
    <x v="0"/>
  </r>
  <r>
    <x v="7"/>
    <s v="Hatchback"/>
    <x v="377"/>
    <x v="4"/>
    <x v="1"/>
    <x v="1"/>
    <x v="0"/>
    <n v="8495"/>
    <x v="3"/>
  </r>
  <r>
    <x v="8"/>
    <s v="Hatchback"/>
    <x v="378"/>
    <x v="3"/>
    <x v="1"/>
    <x v="0"/>
    <x v="1"/>
    <n v="8495"/>
    <x v="2"/>
  </r>
  <r>
    <x v="7"/>
    <s v="Hatchback"/>
    <x v="379"/>
    <x v="5"/>
    <x v="1"/>
    <x v="0"/>
    <x v="0"/>
    <n v="8450"/>
    <x v="1"/>
  </r>
  <r>
    <x v="7"/>
    <s v="Hatchback"/>
    <x v="157"/>
    <x v="3"/>
    <x v="1"/>
    <x v="0"/>
    <x v="1"/>
    <n v="8399"/>
    <x v="0"/>
  </r>
  <r>
    <x v="8"/>
    <s v="Hatchback"/>
    <x v="380"/>
    <x v="4"/>
    <x v="1"/>
    <x v="1"/>
    <x v="0"/>
    <n v="8300"/>
    <x v="1"/>
  </r>
  <r>
    <x v="7"/>
    <s v="Hatchback"/>
    <x v="381"/>
    <x v="2"/>
    <x v="1"/>
    <x v="1"/>
    <x v="1"/>
    <n v="8300"/>
    <x v="1"/>
  </r>
  <r>
    <x v="7"/>
    <s v="Hatchback"/>
    <x v="376"/>
    <x v="3"/>
    <x v="1"/>
    <x v="0"/>
    <x v="1"/>
    <n v="8300"/>
    <x v="3"/>
  </r>
  <r>
    <x v="7"/>
    <s v="Hatchback"/>
    <x v="157"/>
    <x v="3"/>
    <x v="1"/>
    <x v="0"/>
    <x v="0"/>
    <n v="8299"/>
    <x v="2"/>
  </r>
  <r>
    <x v="7"/>
    <s v="Hatchback"/>
    <x v="382"/>
    <x v="3"/>
    <x v="0"/>
    <x v="0"/>
    <x v="0"/>
    <n v="8250"/>
    <x v="3"/>
  </r>
  <r>
    <x v="8"/>
    <s v="Hatchback"/>
    <x v="383"/>
    <x v="3"/>
    <x v="1"/>
    <x v="0"/>
    <x v="1"/>
    <n v="8248"/>
    <x v="1"/>
  </r>
  <r>
    <x v="7"/>
    <s v="Hatchback"/>
    <x v="384"/>
    <x v="3"/>
    <x v="1"/>
    <x v="0"/>
    <x v="2"/>
    <n v="8195"/>
    <x v="3"/>
  </r>
  <r>
    <x v="7"/>
    <s v="Hatchback"/>
    <x v="349"/>
    <x v="3"/>
    <x v="1"/>
    <x v="0"/>
    <x v="1"/>
    <n v="7995"/>
    <x v="0"/>
  </r>
  <r>
    <x v="8"/>
    <s v="Hatchback"/>
    <x v="385"/>
    <x v="4"/>
    <x v="1"/>
    <x v="1"/>
    <x v="6"/>
    <n v="7995"/>
    <x v="3"/>
  </r>
  <r>
    <x v="7"/>
    <s v="Hatchback"/>
    <x v="178"/>
    <x v="4"/>
    <x v="1"/>
    <x v="1"/>
    <x v="2"/>
    <n v="7990"/>
    <x v="0"/>
  </r>
  <r>
    <x v="6"/>
    <s v="Hatchback"/>
    <x v="357"/>
    <x v="1"/>
    <x v="1"/>
    <x v="0"/>
    <x v="1"/>
    <n v="7990"/>
    <x v="0"/>
  </r>
  <r>
    <x v="8"/>
    <s v="Hatchback"/>
    <x v="386"/>
    <x v="1"/>
    <x v="1"/>
    <x v="0"/>
    <x v="1"/>
    <n v="7989"/>
    <x v="1"/>
  </r>
  <r>
    <x v="8"/>
    <s v="Hatchback"/>
    <x v="387"/>
    <x v="4"/>
    <x v="1"/>
    <x v="1"/>
    <x v="4"/>
    <n v="7980"/>
    <x v="2"/>
  </r>
  <r>
    <x v="8"/>
    <s v="Hatchback"/>
    <x v="388"/>
    <x v="1"/>
    <x v="1"/>
    <x v="0"/>
    <x v="1"/>
    <n v="7800"/>
    <x v="3"/>
  </r>
  <r>
    <x v="8"/>
    <s v="Hatchback"/>
    <x v="389"/>
    <x v="4"/>
    <x v="1"/>
    <x v="1"/>
    <x v="1"/>
    <n v="7790"/>
    <x v="3"/>
  </r>
  <r>
    <x v="7"/>
    <s v="Hatchback"/>
    <x v="390"/>
    <x v="4"/>
    <x v="1"/>
    <x v="1"/>
    <x v="0"/>
    <n v="7750"/>
    <x v="3"/>
  </r>
  <r>
    <x v="8"/>
    <s v="Hatchback"/>
    <x v="391"/>
    <x v="4"/>
    <x v="0"/>
    <x v="1"/>
    <x v="1"/>
    <n v="7699"/>
    <x v="1"/>
  </r>
  <r>
    <x v="7"/>
    <s v="Hatchback"/>
    <x v="392"/>
    <x v="4"/>
    <x v="1"/>
    <x v="1"/>
    <x v="4"/>
    <n v="7695"/>
    <x v="1"/>
  </r>
  <r>
    <x v="7"/>
    <s v="Hatchback"/>
    <x v="393"/>
    <x v="4"/>
    <x v="1"/>
    <x v="1"/>
    <x v="4"/>
    <n v="7691"/>
    <x v="0"/>
  </r>
  <r>
    <x v="7"/>
    <s v="Hatchback"/>
    <x v="394"/>
    <x v="3"/>
    <x v="1"/>
    <x v="0"/>
    <x v="0"/>
    <n v="7510"/>
    <x v="3"/>
  </r>
  <r>
    <x v="7"/>
    <s v="Hatchback"/>
    <x v="395"/>
    <x v="5"/>
    <x v="1"/>
    <x v="0"/>
    <x v="1"/>
    <n v="7495"/>
    <x v="2"/>
  </r>
  <r>
    <x v="7"/>
    <s v="Hatchback"/>
    <x v="396"/>
    <x v="4"/>
    <x v="1"/>
    <x v="1"/>
    <x v="2"/>
    <n v="7490"/>
    <x v="1"/>
  </r>
  <r>
    <x v="7"/>
    <s v="Hatchback"/>
    <x v="397"/>
    <x v="5"/>
    <x v="1"/>
    <x v="0"/>
    <x v="1"/>
    <n v="7490"/>
    <x v="0"/>
  </r>
  <r>
    <x v="8"/>
    <s v="Hatchback"/>
    <x v="398"/>
    <x v="4"/>
    <x v="1"/>
    <x v="1"/>
    <x v="0"/>
    <n v="7450"/>
    <x v="1"/>
  </r>
  <r>
    <x v="7"/>
    <s v="Hatchback"/>
    <x v="399"/>
    <x v="4"/>
    <x v="1"/>
    <x v="1"/>
    <x v="2"/>
    <n v="7400"/>
    <x v="1"/>
  </r>
  <r>
    <x v="7"/>
    <s v="Hatchback"/>
    <x v="400"/>
    <x v="4"/>
    <x v="1"/>
    <x v="1"/>
    <x v="2"/>
    <n v="7399"/>
    <x v="3"/>
  </r>
  <r>
    <x v="7"/>
    <s v="Hatchback"/>
    <x v="401"/>
    <x v="4"/>
    <x v="1"/>
    <x v="1"/>
    <x v="4"/>
    <n v="7345"/>
    <x v="2"/>
  </r>
  <r>
    <x v="6"/>
    <s v="Hatchback"/>
    <x v="402"/>
    <x v="1"/>
    <x v="1"/>
    <x v="0"/>
    <x v="2"/>
    <n v="7289"/>
    <x v="3"/>
  </r>
  <r>
    <x v="8"/>
    <s v="Hatchback"/>
    <x v="403"/>
    <x v="4"/>
    <x v="1"/>
    <x v="1"/>
    <x v="0"/>
    <n v="7089"/>
    <x v="1"/>
  </r>
  <r>
    <x v="7"/>
    <s v="Hatchback"/>
    <x v="404"/>
    <x v="4"/>
    <x v="1"/>
    <x v="1"/>
    <x v="2"/>
    <n v="7000"/>
    <x v="3"/>
  </r>
  <r>
    <x v="7"/>
    <s v="Hatchback"/>
    <x v="405"/>
    <x v="4"/>
    <x v="1"/>
    <x v="1"/>
    <x v="1"/>
    <n v="6995"/>
    <x v="0"/>
  </r>
  <r>
    <x v="7"/>
    <s v="Hatchback"/>
    <x v="348"/>
    <x v="4"/>
    <x v="1"/>
    <x v="1"/>
    <x v="2"/>
    <n v="6990"/>
    <x v="3"/>
  </r>
  <r>
    <x v="7"/>
    <s v="Hatchback"/>
    <x v="374"/>
    <x v="4"/>
    <x v="1"/>
    <x v="1"/>
    <x v="4"/>
    <n v="6795"/>
    <x v="0"/>
  </r>
  <r>
    <x v="7"/>
    <s v="Hatchback"/>
    <x v="406"/>
    <x v="4"/>
    <x v="1"/>
    <x v="1"/>
    <x v="1"/>
    <n v="6795"/>
    <x v="0"/>
  </r>
  <r>
    <x v="7"/>
    <s v="Hatchback"/>
    <x v="407"/>
    <x v="2"/>
    <x v="1"/>
    <x v="1"/>
    <x v="1"/>
    <n v="6690"/>
    <x v="1"/>
  </r>
  <r>
    <x v="8"/>
    <s v="Hatchback"/>
    <x v="408"/>
    <x v="4"/>
    <x v="1"/>
    <x v="1"/>
    <x v="0"/>
    <n v="6655"/>
    <x v="2"/>
  </r>
  <r>
    <x v="7"/>
    <s v="Hatchback"/>
    <x v="409"/>
    <x v="5"/>
    <x v="1"/>
    <x v="0"/>
    <x v="4"/>
    <n v="6550"/>
    <x v="3"/>
  </r>
  <r>
    <x v="7"/>
    <s v="Hatchback"/>
    <x v="410"/>
    <x v="3"/>
    <x v="1"/>
    <x v="0"/>
    <x v="1"/>
    <n v="6500"/>
    <x v="3"/>
  </r>
  <r>
    <x v="7"/>
    <s v="Hatchback"/>
    <x v="411"/>
    <x v="4"/>
    <x v="1"/>
    <x v="1"/>
    <x v="4"/>
    <n v="6490"/>
    <x v="3"/>
  </r>
  <r>
    <x v="8"/>
    <s v="Hatchback"/>
    <x v="412"/>
    <x v="4"/>
    <x v="1"/>
    <x v="1"/>
    <x v="1"/>
    <n v="6489"/>
    <x v="1"/>
  </r>
  <r>
    <x v="7"/>
    <s v="Hatchback"/>
    <x v="413"/>
    <x v="4"/>
    <x v="1"/>
    <x v="1"/>
    <x v="1"/>
    <n v="5495"/>
    <x v="1"/>
  </r>
  <r>
    <x v="7"/>
    <s v="Hatchback"/>
    <x v="414"/>
    <x v="4"/>
    <x v="1"/>
    <x v="1"/>
    <x v="0"/>
    <n v="5250"/>
    <x v="0"/>
  </r>
  <r>
    <x v="7"/>
    <s v="Hatchback"/>
    <x v="415"/>
    <x v="4"/>
    <x v="1"/>
    <x v="1"/>
    <x v="1"/>
    <n v="500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0EE0B-C106-4A03-855B-E512FB5C95D8}" name="TablaDinámica1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F41:K45" firstHeaderRow="1" firstDataRow="2" firstDataCol="1"/>
  <pivotFields count="9">
    <pivotField showAll="0"/>
    <pivotField showAll="0"/>
    <pivotField showAll="0">
      <items count="417">
        <item x="2"/>
        <item x="12"/>
        <item x="47"/>
        <item x="0"/>
        <item x="9"/>
        <item x="14"/>
        <item x="61"/>
        <item x="112"/>
        <item x="48"/>
        <item x="6"/>
        <item x="1"/>
        <item x="7"/>
        <item x="104"/>
        <item x="4"/>
        <item x="5"/>
        <item x="11"/>
        <item x="17"/>
        <item x="173"/>
        <item x="132"/>
        <item x="71"/>
        <item x="88"/>
        <item x="13"/>
        <item x="55"/>
        <item x="8"/>
        <item x="77"/>
        <item x="63"/>
        <item x="15"/>
        <item x="131"/>
        <item x="16"/>
        <item x="123"/>
        <item x="35"/>
        <item x="29"/>
        <item x="82"/>
        <item x="86"/>
        <item x="19"/>
        <item x="94"/>
        <item x="99"/>
        <item x="238"/>
        <item x="43"/>
        <item x="10"/>
        <item x="53"/>
        <item x="23"/>
        <item x="121"/>
        <item x="30"/>
        <item x="87"/>
        <item x="111"/>
        <item x="26"/>
        <item x="66"/>
        <item x="81"/>
        <item x="106"/>
        <item x="25"/>
        <item x="69"/>
        <item x="18"/>
        <item x="3"/>
        <item x="103"/>
        <item x="39"/>
        <item x="107"/>
        <item x="32"/>
        <item x="51"/>
        <item x="44"/>
        <item x="58"/>
        <item x="65"/>
        <item x="180"/>
        <item x="126"/>
        <item x="50"/>
        <item x="62"/>
        <item x="28"/>
        <item x="125"/>
        <item x="149"/>
        <item x="122"/>
        <item x="109"/>
        <item x="57"/>
        <item x="41"/>
        <item x="169"/>
        <item x="78"/>
        <item x="20"/>
        <item x="72"/>
        <item x="52"/>
        <item x="175"/>
        <item x="97"/>
        <item x="46"/>
        <item x="117"/>
        <item x="83"/>
        <item x="147"/>
        <item x="115"/>
        <item x="127"/>
        <item x="184"/>
        <item x="93"/>
        <item x="38"/>
        <item x="124"/>
        <item x="108"/>
        <item x="141"/>
        <item x="45"/>
        <item x="306"/>
        <item x="60"/>
        <item x="139"/>
        <item x="21"/>
        <item x="162"/>
        <item x="206"/>
        <item x="40"/>
        <item x="37"/>
        <item x="179"/>
        <item x="36"/>
        <item x="22"/>
        <item x="145"/>
        <item x="33"/>
        <item x="67"/>
        <item x="224"/>
        <item x="31"/>
        <item x="59"/>
        <item x="129"/>
        <item x="90"/>
        <item x="34"/>
        <item x="158"/>
        <item x="64"/>
        <item x="165"/>
        <item x="70"/>
        <item x="214"/>
        <item x="95"/>
        <item x="110"/>
        <item x="120"/>
        <item x="230"/>
        <item x="182"/>
        <item x="92"/>
        <item x="91"/>
        <item x="142"/>
        <item x="135"/>
        <item x="159"/>
        <item x="275"/>
        <item x="166"/>
        <item x="200"/>
        <item x="150"/>
        <item x="148"/>
        <item x="24"/>
        <item x="221"/>
        <item x="74"/>
        <item x="191"/>
        <item x="140"/>
        <item x="298"/>
        <item x="130"/>
        <item x="80"/>
        <item x="68"/>
        <item x="155"/>
        <item x="210"/>
        <item x="171"/>
        <item x="215"/>
        <item x="42"/>
        <item x="267"/>
        <item x="163"/>
        <item x="246"/>
        <item x="194"/>
        <item x="265"/>
        <item x="278"/>
        <item x="209"/>
        <item x="234"/>
        <item x="143"/>
        <item x="249"/>
        <item x="202"/>
        <item x="197"/>
        <item x="54"/>
        <item x="116"/>
        <item x="266"/>
        <item x="56"/>
        <item x="174"/>
        <item x="96"/>
        <item x="272"/>
        <item x="192"/>
        <item x="75"/>
        <item x="168"/>
        <item x="199"/>
        <item x="105"/>
        <item x="219"/>
        <item x="27"/>
        <item x="313"/>
        <item x="176"/>
        <item x="100"/>
        <item x="220"/>
        <item x="85"/>
        <item x="84"/>
        <item x="113"/>
        <item x="244"/>
        <item x="198"/>
        <item x="232"/>
        <item x="237"/>
        <item x="138"/>
        <item x="101"/>
        <item x="114"/>
        <item x="270"/>
        <item x="279"/>
        <item x="137"/>
        <item x="289"/>
        <item x="188"/>
        <item x="161"/>
        <item x="205"/>
        <item x="133"/>
        <item x="251"/>
        <item x="190"/>
        <item x="118"/>
        <item x="102"/>
        <item x="119"/>
        <item x="294"/>
        <item x="213"/>
        <item x="217"/>
        <item x="222"/>
        <item x="342"/>
        <item x="274"/>
        <item x="229"/>
        <item x="177"/>
        <item x="172"/>
        <item x="201"/>
        <item x="368"/>
        <item x="136"/>
        <item x="287"/>
        <item x="277"/>
        <item x="300"/>
        <item x="160"/>
        <item x="128"/>
        <item x="134"/>
        <item x="189"/>
        <item x="89"/>
        <item x="280"/>
        <item x="216"/>
        <item x="186"/>
        <item x="153"/>
        <item x="302"/>
        <item x="299"/>
        <item x="193"/>
        <item x="207"/>
        <item x="240"/>
        <item x="195"/>
        <item x="208"/>
        <item x="156"/>
        <item x="271"/>
        <item x="245"/>
        <item x="185"/>
        <item x="390"/>
        <item x="247"/>
        <item x="227"/>
        <item x="309"/>
        <item x="316"/>
        <item x="183"/>
        <item x="164"/>
        <item x="286"/>
        <item x="291"/>
        <item x="228"/>
        <item x="262"/>
        <item x="223"/>
        <item x="367"/>
        <item x="151"/>
        <item x="254"/>
        <item x="196"/>
        <item x="241"/>
        <item x="284"/>
        <item x="252"/>
        <item x="250"/>
        <item x="317"/>
        <item x="255"/>
        <item x="358"/>
        <item x="293"/>
        <item x="273"/>
        <item x="253"/>
        <item x="258"/>
        <item x="257"/>
        <item x="203"/>
        <item x="79"/>
        <item x="170"/>
        <item x="225"/>
        <item x="355"/>
        <item x="157"/>
        <item x="394"/>
        <item x="318"/>
        <item x="311"/>
        <item x="146"/>
        <item x="336"/>
        <item x="76"/>
        <item x="268"/>
        <item x="204"/>
        <item x="345"/>
        <item x="379"/>
        <item x="167"/>
        <item x="243"/>
        <item x="319"/>
        <item x="261"/>
        <item x="330"/>
        <item x="260"/>
        <item x="333"/>
        <item x="263"/>
        <item x="328"/>
        <item x="231"/>
        <item x="301"/>
        <item x="73"/>
        <item x="338"/>
        <item x="290"/>
        <item x="315"/>
        <item x="144"/>
        <item x="314"/>
        <item x="329"/>
        <item x="326"/>
        <item x="305"/>
        <item x="154"/>
        <item x="337"/>
        <item x="212"/>
        <item x="331"/>
        <item x="327"/>
        <item x="340"/>
        <item x="256"/>
        <item x="187"/>
        <item x="248"/>
        <item x="307"/>
        <item x="343"/>
        <item x="325"/>
        <item x="285"/>
        <item x="233"/>
        <item x="98"/>
        <item x="178"/>
        <item x="282"/>
        <item x="320"/>
        <item x="304"/>
        <item x="344"/>
        <item x="324"/>
        <item x="236"/>
        <item x="369"/>
        <item x="310"/>
        <item x="375"/>
        <item x="341"/>
        <item x="295"/>
        <item x="363"/>
        <item x="332"/>
        <item x="321"/>
        <item x="381"/>
        <item x="393"/>
        <item x="354"/>
        <item x="348"/>
        <item x="226"/>
        <item x="281"/>
        <item x="259"/>
        <item x="353"/>
        <item x="351"/>
        <item x="276"/>
        <item x="242"/>
        <item x="152"/>
        <item x="296"/>
        <item x="370"/>
        <item x="400"/>
        <item x="347"/>
        <item x="323"/>
        <item x="371"/>
        <item x="359"/>
        <item x="335"/>
        <item x="334"/>
        <item x="366"/>
        <item x="352"/>
        <item x="364"/>
        <item x="235"/>
        <item x="218"/>
        <item x="308"/>
        <item x="376"/>
        <item x="264"/>
        <item x="339"/>
        <item x="303"/>
        <item x="356"/>
        <item x="373"/>
        <item x="49"/>
        <item x="346"/>
        <item x="211"/>
        <item x="397"/>
        <item x="292"/>
        <item x="361"/>
        <item x="372"/>
        <item x="288"/>
        <item x="374"/>
        <item x="405"/>
        <item x="283"/>
        <item x="297"/>
        <item x="383"/>
        <item x="395"/>
        <item x="239"/>
        <item x="396"/>
        <item x="322"/>
        <item x="360"/>
        <item x="269"/>
        <item x="350"/>
        <item x="349"/>
        <item x="404"/>
        <item x="410"/>
        <item x="385"/>
        <item x="312"/>
        <item x="411"/>
        <item x="181"/>
        <item x="384"/>
        <item x="378"/>
        <item x="357"/>
        <item x="377"/>
        <item x="409"/>
        <item x="389"/>
        <item x="386"/>
        <item x="362"/>
        <item x="392"/>
        <item x="365"/>
        <item x="401"/>
        <item x="382"/>
        <item x="380"/>
        <item x="402"/>
        <item x="399"/>
        <item x="408"/>
        <item x="413"/>
        <item x="388"/>
        <item x="403"/>
        <item x="398"/>
        <item x="391"/>
        <item x="406"/>
        <item x="387"/>
        <item x="407"/>
        <item x="414"/>
        <item x="415"/>
        <item x="412"/>
        <item t="default"/>
      </items>
    </pivotField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numFmtId="164" showAll="0"/>
    <pivotField axis="axisCol" dataField="1" showAll="0">
      <items count="5">
        <item x="0"/>
        <item x="1"/>
        <item x="3"/>
        <item x="2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Cuenta de Vendedor" fld="8" subtotal="count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17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8" count="1" selected="0">
            <x v="0"/>
          </reference>
        </references>
      </pivotArea>
    </chartFormat>
    <chartFormat chart="2" format="18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8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20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8" count="1" selected="0">
            <x v="1"/>
          </reference>
        </references>
      </pivotArea>
    </chartFormat>
    <chartFormat chart="2" format="2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8" count="1" selected="0">
            <x v="1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23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8" count="1" selected="0">
            <x v="2"/>
          </reference>
        </references>
      </pivotArea>
    </chartFormat>
    <chartFormat chart="2" format="2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8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6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8" count="1" selected="0">
            <x v="3"/>
          </reference>
        </references>
      </pivotArea>
    </chartFormat>
    <chartFormat chart="2" format="27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C9634F-7105-47E2-A25A-839A04BE2B74}" name="TablaDinámica5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G2:H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x="1"/>
        <item x="3"/>
        <item x="2"/>
        <item h="1" x="4"/>
        <item t="default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Vendedor" fld="8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E483AE-CFCC-4F23-89E7-64B3DB957660}" name="TablaDinámica1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51:B59" firstHeaderRow="1" firstDataRow="1" firstDataCol="1"/>
  <pivotFields count="9"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4"/>
        <item x="3"/>
        <item x="5"/>
        <item x="6"/>
        <item t="default"/>
      </items>
    </pivotField>
    <pivotField dataField="1" numFmtId="164" showAll="0"/>
    <pivotField showAll="0"/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Precio (Moneda)" fld="7" subtotal="average" baseField="6" baseItem="0" numFmtId="16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E0FD79-0C79-49E6-A0BD-31674C1A213E}" name="TablaDinámica9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G12:J18" firstHeaderRow="1" firstDataRow="2" firstDataCol="1"/>
  <pivotFields count="9"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numFmtId="164" showAll="0"/>
    <pivotField axis="axisRow" dataField="1" showAll="0">
      <items count="5">
        <item x="0"/>
        <item x="1"/>
        <item x="3"/>
        <item x="2"/>
        <item t="default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uenta de Vendedor" fld="8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B1A8F6-11AA-43E4-A08E-CEE42E043B65}" name="TablaDinámica10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26:H37" firstHeaderRow="1" firstDataRow="2" firstDataCol="1"/>
  <pivotFields count="9">
    <pivotField axis="axisRow" showAll="0">
      <items count="10">
        <item x="7"/>
        <item x="8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axis="axisCol" showAll="0">
      <items count="7">
        <item x="1"/>
        <item x="5"/>
        <item x="3"/>
        <item x="0"/>
        <item x="4"/>
        <item x="2"/>
        <item t="default"/>
      </items>
    </pivotField>
    <pivotField showAll="0"/>
    <pivotField showAll="0"/>
    <pivotField showAll="0"/>
    <pivotField dataField="1" numFmtId="164" showAll="0"/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Promedio de Precio (Moneda)" fld="7" subtotal="average" baseField="0" baseItem="0" numFmtId="164"/>
  </dataFields>
  <chartFormats count="6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6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0"/>
          </reference>
        </references>
      </pivotArea>
    </chartFormat>
    <chartFormat chart="2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0"/>
          </reference>
        </references>
      </pivotArea>
    </chartFormat>
    <chartFormat chart="2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</references>
      </pivotArea>
    </chartFormat>
    <chartFormat chart="2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</references>
      </pivotArea>
    </chartFormat>
    <chartFormat chart="2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</references>
      </pivotArea>
    </chartFormat>
    <chartFormat chart="2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0"/>
          </reference>
        </references>
      </pivotArea>
    </chartFormat>
    <chartFormat chart="2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0"/>
          </reference>
        </references>
      </pivotArea>
    </chartFormat>
    <chartFormat chart="2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0"/>
          </reference>
        </references>
      </pivotArea>
    </chartFormat>
    <chartFormat chart="2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0"/>
          </reference>
        </references>
      </pivotArea>
    </chartFormat>
    <chartFormat chart="2" format="7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"/>
          </reference>
        </references>
      </pivotArea>
    </chartFormat>
    <chartFormat chart="2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"/>
          </reference>
        </references>
      </pivotArea>
    </chartFormat>
    <chartFormat chart="2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"/>
          </reference>
        </references>
      </pivotArea>
    </chartFormat>
    <chartFormat chart="2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1"/>
          </reference>
        </references>
      </pivotArea>
    </chartFormat>
    <chartFormat chart="2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1"/>
          </reference>
        </references>
      </pivotArea>
    </chartFormat>
    <chartFormat chart="2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"/>
          </reference>
        </references>
      </pivotArea>
    </chartFormat>
    <chartFormat chart="2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</references>
      </pivotArea>
    </chartFormat>
    <chartFormat chart="2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</references>
      </pivotArea>
    </chartFormat>
    <chartFormat chart="2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1"/>
          </reference>
        </references>
      </pivotArea>
    </chartFormat>
    <chartFormat chart="2" format="8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2"/>
          </reference>
        </references>
      </pivotArea>
    </chartFormat>
    <chartFormat chart="2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2"/>
          </reference>
        </references>
      </pivotArea>
    </chartFormat>
    <chartFormat chart="2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2"/>
          </reference>
        </references>
      </pivotArea>
    </chartFormat>
    <chartFormat chart="2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2"/>
          </reference>
        </references>
      </pivotArea>
    </chartFormat>
    <chartFormat chart="2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2"/>
          </reference>
        </references>
      </pivotArea>
    </chartFormat>
    <chartFormat chart="2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2"/>
          </reference>
        </references>
      </pivotArea>
    </chartFormat>
    <chartFormat chart="2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2"/>
          </reference>
        </references>
      </pivotArea>
    </chartFormat>
    <chartFormat chart="2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2"/>
          </reference>
        </references>
      </pivotArea>
    </chartFormat>
    <chartFormat chart="2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2"/>
          </reference>
        </references>
      </pivotArea>
    </chartFormat>
    <chartFormat chart="2" format="9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3"/>
          </reference>
        </references>
      </pivotArea>
    </chartFormat>
    <chartFormat chart="2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3"/>
          </reference>
        </references>
      </pivotArea>
    </chartFormat>
    <chartFormat chart="2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3"/>
          </reference>
        </references>
      </pivotArea>
    </chartFormat>
    <chartFormat chart="2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3"/>
          </reference>
        </references>
      </pivotArea>
    </chartFormat>
    <chartFormat chart="2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3"/>
          </reference>
        </references>
      </pivotArea>
    </chartFormat>
    <chartFormat chart="2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3"/>
          </reference>
        </references>
      </pivotArea>
    </chartFormat>
    <chartFormat chart="2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3"/>
          </reference>
        </references>
      </pivotArea>
    </chartFormat>
    <chartFormat chart="2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3"/>
          </reference>
        </references>
      </pivotArea>
    </chartFormat>
    <chartFormat chart="2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3"/>
          </reference>
        </references>
      </pivotArea>
    </chartFormat>
    <chartFormat chart="2" format="10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4"/>
          </reference>
        </references>
      </pivotArea>
    </chartFormat>
    <chartFormat chart="2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4"/>
          </reference>
        </references>
      </pivotArea>
    </chartFormat>
    <chartFormat chart="2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4"/>
          </reference>
        </references>
      </pivotArea>
    </chartFormat>
    <chartFormat chart="2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4"/>
          </reference>
        </references>
      </pivotArea>
    </chartFormat>
    <chartFormat chart="2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4"/>
          </reference>
        </references>
      </pivotArea>
    </chartFormat>
    <chartFormat chart="2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4"/>
          </reference>
        </references>
      </pivotArea>
    </chartFormat>
    <chartFormat chart="2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4"/>
          </reference>
        </references>
      </pivotArea>
    </chartFormat>
    <chartFormat chart="2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4"/>
          </reference>
        </references>
      </pivotArea>
    </chartFormat>
    <chartFormat chart="2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4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5"/>
          </reference>
        </references>
      </pivotArea>
    </chartFormat>
    <chartFormat chart="2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5"/>
          </reference>
        </references>
      </pivotArea>
    </chartFormat>
    <chartFormat chart="2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5"/>
          </reference>
        </references>
      </pivotArea>
    </chartFormat>
    <chartFormat chart="2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5"/>
          </reference>
        </references>
      </pivotArea>
    </chartFormat>
    <chartFormat chart="2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5"/>
          </reference>
        </references>
      </pivotArea>
    </chartFormat>
    <chartFormat chart="2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5"/>
          </reference>
        </references>
      </pivotArea>
    </chartFormat>
    <chartFormat chart="2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5"/>
          </reference>
        </references>
      </pivotArea>
    </chartFormat>
    <chartFormat chart="2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5"/>
          </reference>
        </references>
      </pivotArea>
    </chartFormat>
    <chartFormat chart="2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CAE00-5E44-458C-B91C-47E6F4340A04}" name="TablaDiná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A2:B8" firstHeaderRow="1" firstDataRow="1" firstDataCol="1"/>
  <pivotFields count="9">
    <pivotField showAll="0">
      <items count="11">
        <item x="7"/>
        <item x="8"/>
        <item x="6"/>
        <item x="5"/>
        <item x="4"/>
        <item x="3"/>
        <item x="2"/>
        <item x="1"/>
        <item x="0"/>
        <item x="9"/>
        <item t="default"/>
      </items>
    </pivotField>
    <pivotField showAll="0"/>
    <pivotField showAll="0"/>
    <pivotField showAll="0">
      <items count="8">
        <item x="1"/>
        <item x="5"/>
        <item x="3"/>
        <item x="0"/>
        <item x="4"/>
        <item x="2"/>
        <item x="6"/>
        <item t="default"/>
      </items>
    </pivotField>
    <pivotField showAll="0"/>
    <pivotField showAll="0"/>
    <pivotField showAll="0">
      <items count="9">
        <item x="0"/>
        <item x="1"/>
        <item x="2"/>
        <item x="4"/>
        <item x="3"/>
        <item x="5"/>
        <item x="6"/>
        <item x="7"/>
        <item t="default"/>
      </items>
    </pivotField>
    <pivotField dataField="1" showAll="0">
      <items count="358"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56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Promedio de Precio (Moneda)" fld="7" subtotal="average" baseField="8" baseItem="0" numFmtId="164"/>
  </dataFields>
  <formats count="1">
    <format dxfId="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930B1D-3EB8-48B0-BD22-1E1326C2A811}" name="TablaDinámica6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12:B22" firstHeaderRow="1" firstDataRow="1" firstDataCol="1"/>
  <pivotFields count="9">
    <pivotField axis="axisRow" showAll="0">
      <items count="11">
        <item x="7"/>
        <item x="8"/>
        <item x="6"/>
        <item x="5"/>
        <item x="4"/>
        <item x="3"/>
        <item x="2"/>
        <item x="1"/>
        <item x="0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uenta de Vendedor" fld="8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575543-BDD5-49A3-B33E-CD19426896E0}" name="TablaDinámica7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D12:E22" firstHeaderRow="1" firstDataRow="1" firstDataCol="1"/>
  <pivotFields count="9">
    <pivotField axis="axisRow" showAll="0">
      <items count="10">
        <item x="7"/>
        <item x="8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64" showAll="0"/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a de Precio (Moneda)" fld="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AB7F1F-90BD-442D-B83A-16E5C7573BB6}" name="TablaDinámica8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40:C47" firstHeaderRow="0" firstDataRow="1" firstDataCol="1"/>
  <pivotFields count="9">
    <pivotField showAll="0"/>
    <pivotField showAll="0"/>
    <pivotField showAll="0"/>
    <pivotField axis="axisRow" showAll="0">
      <items count="7">
        <item x="1"/>
        <item x="5"/>
        <item x="3"/>
        <item x="0"/>
        <item x="4"/>
        <item x="2"/>
        <item t="default"/>
      </items>
    </pivotField>
    <pivotField showAll="0"/>
    <pivotField showAll="0"/>
    <pivotField showAll="0"/>
    <pivotField dataField="1" numFmtId="164" showAll="0"/>
    <pivotField dataField="1"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Vendedor" fld="8" subtotal="count" baseField="0" baseItem="0"/>
    <dataField name="Suma de Precio (Moneda)" fld="7" baseField="0" baseItem="0" numFmtId="164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1"/>
          </reference>
          <reference field="3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1"/>
          </reference>
          <reference field="3" count="1" selected="0">
            <x v="5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1"/>
          </reference>
          <reference field="3" count="1" selected="0">
            <x v="3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71D5C-7DEB-43DD-961F-E103E136A4FB}" name="TablaDiná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D2:E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3"/>
        <item x="2"/>
        <item h="1" x="4"/>
        <item t="default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Precio (Moneda)" fld="7" baseField="0" baseItem="0" numFmtId="164"/>
  </dataFields>
  <formats count="1">
    <format dxfId="1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DF464645-BB85-40B5-8781-74C429D4E761}" sourceName="Año">
  <pivotTables>
    <pivotTable tabId="11" name="TablaDinámica1"/>
  </pivotTables>
  <data>
    <tabular pivotCacheId="1983463193">
      <items count="10">
        <i x="7" s="1"/>
        <i x="8" s="1"/>
        <i x="6" s="1"/>
        <i x="5" s="1"/>
        <i x="4" s="1"/>
        <i x="3" s="1"/>
        <i x="2" s="1"/>
        <i x="1" s="1"/>
        <i x="0" s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tor" xr10:uid="{A4A9EBF5-308D-4517-A44B-D093551E4EE3}" sourceName="Motor">
  <pivotTables>
    <pivotTable tabId="11" name="TablaDinámica1"/>
  </pivotTables>
  <data>
    <tabular pivotCacheId="1983463193">
      <items count="7">
        <i x="1" s="1"/>
        <i x="5" s="1"/>
        <i x="3" s="1"/>
        <i x="0" s="1"/>
        <i x="4" s="1"/>
        <i x="2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056BFC36-6613-4FBC-A851-8AE26AEC1FC4}" sourceName="Vendedor">
  <pivotTables>
    <pivotTable tabId="11" name="TablaDinámica1"/>
  </pivotTables>
  <data>
    <tabular pivotCacheId="1983463193">
      <items count="5">
        <i x="0" s="1"/>
        <i x="1" s="1"/>
        <i x="3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4778865E-67E4-4C0E-9395-92ECCB335731}" cache="SegmentaciónDeDatos_Año" caption="Año" columnCount="5" style="SlicerStyleDark1" rowHeight="234950"/>
  <slicer name="Motor" xr10:uid="{E8BE64B2-FD39-4C23-9DBD-5E1036ED9445}" cache="SegmentaciónDeDatos_Motor" caption="Motor" columnCount="3" style="SlicerStyleDark1" rowHeight="234950"/>
  <slicer name="Vendedor" xr10:uid="{A9657737-8C18-46D0-B611-3DABFDAC01A6}" cache="SegmentaciónDeDatos_Vendedor" caption="Vendedor" columnCount="2" style="SlicerStyleDark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B417A6-33C7-4A58-A7CA-413781D16BE7}" name="Tabla1" displayName="Tabla1" ref="A1:I472" totalsRowShown="0">
  <sortState xmlns:xlrd2="http://schemas.microsoft.com/office/spreadsheetml/2017/richdata2" ref="A2:H472">
    <sortCondition descending="1" ref="H1:H472"/>
  </sortState>
  <tableColumns count="9">
    <tableColumn id="1" xr3:uid="{E56DD55A-8867-4780-99A6-D7ADDC139AE1}" name="Año"/>
    <tableColumn id="2" xr3:uid="{7B5A47D0-AB5C-41D9-B857-118F96E2F45D}" name="Tipo"/>
    <tableColumn id="3" xr3:uid="{DA69FEA8-22F8-432A-B68B-3375149CC361}" name="Kilometraje"/>
    <tableColumn id="4" xr3:uid="{2A0D71BD-EBD3-4A7D-B1B8-3D33CEB37D95}" name="Motor"/>
    <tableColumn id="5" xr3:uid="{597767B7-7C88-42D1-AC28-6DD21D146AD7}" name="Transmision"/>
    <tableColumn id="6" xr3:uid="{01A21BD8-F986-4D6A-AE35-F94D0F3533A4}" name="Combustible"/>
    <tableColumn id="7" xr3:uid="{35063840-D546-4D9C-B71E-5710DA4A5D85}" name="Propietarios"/>
    <tableColumn id="8" xr3:uid="{E54E9384-26A3-430E-AA3B-8AB6B0CA1744}" name="Precio (Moneda)" dataDxfId="2"/>
    <tableColumn id="9" xr3:uid="{5D49E5B6-F61D-4D92-8874-59C7541C3C6F}" name="Vended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3560-9021-4B54-B150-2832FA4EC1C9}">
  <dimension ref="C2:L3"/>
  <sheetViews>
    <sheetView workbookViewId="0"/>
  </sheetViews>
  <sheetFormatPr baseColWidth="10" defaultColWidth="11.44140625" defaultRowHeight="14.4" x14ac:dyDescent="0.3"/>
  <cols>
    <col min="1" max="16384" width="11.44140625" style="7"/>
  </cols>
  <sheetData>
    <row r="2" spans="3:12" ht="24.6" x14ac:dyDescent="0.4">
      <c r="C2" s="14" t="s">
        <v>822</v>
      </c>
      <c r="D2" s="15"/>
      <c r="E2" s="15"/>
      <c r="F2" s="15"/>
      <c r="G2" s="15"/>
      <c r="H2" s="15"/>
      <c r="I2" s="15"/>
      <c r="J2" s="15"/>
      <c r="K2" s="15"/>
      <c r="L2" s="15"/>
    </row>
    <row r="3" spans="3:12" ht="24.6" x14ac:dyDescent="0.4">
      <c r="D3" s="8"/>
      <c r="E3" s="8"/>
      <c r="F3" s="8"/>
      <c r="G3" s="8"/>
      <c r="H3" s="8"/>
      <c r="I3" s="8"/>
      <c r="J3" s="8"/>
      <c r="K3" s="8"/>
    </row>
  </sheetData>
  <mergeCells count="1">
    <mergeCell ref="C2:L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B9D50-095D-40C8-BEB5-718F946E52BC}">
  <dimension ref="A1:H472"/>
  <sheetViews>
    <sheetView workbookViewId="0">
      <selection activeCell="J16" sqref="J16"/>
    </sheetView>
  </sheetViews>
  <sheetFormatPr baseColWidth="10" defaultRowHeight="14.4" x14ac:dyDescent="0.3"/>
  <cols>
    <col min="7" max="7" width="17.6640625" bestFit="1" customWidth="1"/>
  </cols>
  <sheetData>
    <row r="1" spans="1:8" x14ac:dyDescent="0.3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</row>
    <row r="2" spans="1:8" x14ac:dyDescent="0.3">
      <c r="A2" t="s">
        <v>27</v>
      </c>
      <c r="B2" t="s">
        <v>8</v>
      </c>
      <c r="C2" t="s">
        <v>28</v>
      </c>
      <c r="D2" t="s">
        <v>9</v>
      </c>
      <c r="E2" t="s">
        <v>10</v>
      </c>
      <c r="F2" t="s">
        <v>11</v>
      </c>
      <c r="G2">
        <v>1</v>
      </c>
      <c r="H2" t="s">
        <v>29</v>
      </c>
    </row>
    <row r="3" spans="1:8" x14ac:dyDescent="0.3">
      <c r="A3" t="s">
        <v>30</v>
      </c>
      <c r="B3" t="s">
        <v>8</v>
      </c>
      <c r="C3" t="s">
        <v>31</v>
      </c>
      <c r="D3" t="s">
        <v>12</v>
      </c>
      <c r="E3" t="s">
        <v>10</v>
      </c>
      <c r="F3" t="s">
        <v>13</v>
      </c>
      <c r="G3">
        <v>3</v>
      </c>
      <c r="H3" t="s">
        <v>32</v>
      </c>
    </row>
    <row r="4" spans="1:8" x14ac:dyDescent="0.3">
      <c r="A4" t="s">
        <v>33</v>
      </c>
      <c r="B4" t="s">
        <v>8</v>
      </c>
      <c r="C4" t="s">
        <v>34</v>
      </c>
      <c r="D4" t="s">
        <v>14</v>
      </c>
      <c r="E4" t="s">
        <v>10</v>
      </c>
      <c r="F4" t="s">
        <v>13</v>
      </c>
      <c r="G4">
        <v>2</v>
      </c>
      <c r="H4" t="s">
        <v>35</v>
      </c>
    </row>
    <row r="5" spans="1:8" x14ac:dyDescent="0.3">
      <c r="A5" t="s">
        <v>36</v>
      </c>
      <c r="B5" t="s">
        <v>8</v>
      </c>
      <c r="C5" t="s">
        <v>37</v>
      </c>
      <c r="D5" t="s">
        <v>9</v>
      </c>
      <c r="E5" t="s">
        <v>10</v>
      </c>
      <c r="F5" t="s">
        <v>11</v>
      </c>
      <c r="G5">
        <v>3</v>
      </c>
      <c r="H5" t="s">
        <v>38</v>
      </c>
    </row>
    <row r="6" spans="1:8" x14ac:dyDescent="0.3">
      <c r="A6" t="s">
        <v>36</v>
      </c>
      <c r="B6" t="s">
        <v>8</v>
      </c>
      <c r="C6" t="s">
        <v>39</v>
      </c>
      <c r="D6" t="s">
        <v>9</v>
      </c>
      <c r="E6" t="s">
        <v>10</v>
      </c>
      <c r="F6" t="s">
        <v>11</v>
      </c>
      <c r="G6">
        <v>3</v>
      </c>
      <c r="H6" t="s">
        <v>40</v>
      </c>
    </row>
    <row r="7" spans="1:8" x14ac:dyDescent="0.3">
      <c r="A7" t="s">
        <v>33</v>
      </c>
      <c r="B7" t="s">
        <v>8</v>
      </c>
      <c r="C7" t="s">
        <v>41</v>
      </c>
      <c r="D7" t="s">
        <v>14</v>
      </c>
      <c r="E7" t="s">
        <v>10</v>
      </c>
      <c r="F7" t="s">
        <v>13</v>
      </c>
      <c r="G7">
        <v>2</v>
      </c>
      <c r="H7" t="s">
        <v>42</v>
      </c>
    </row>
    <row r="8" spans="1:8" x14ac:dyDescent="0.3">
      <c r="A8" t="s">
        <v>36</v>
      </c>
      <c r="B8" t="s">
        <v>8</v>
      </c>
      <c r="C8" t="s">
        <v>43</v>
      </c>
      <c r="D8" t="s">
        <v>9</v>
      </c>
      <c r="E8" t="s">
        <v>10</v>
      </c>
      <c r="F8" t="s">
        <v>11</v>
      </c>
      <c r="G8">
        <v>4</v>
      </c>
      <c r="H8" t="s">
        <v>44</v>
      </c>
    </row>
    <row r="9" spans="1:8" x14ac:dyDescent="0.3">
      <c r="A9" t="s">
        <v>33</v>
      </c>
      <c r="B9" t="s">
        <v>8</v>
      </c>
      <c r="C9" t="s">
        <v>45</v>
      </c>
      <c r="D9" t="s">
        <v>14</v>
      </c>
      <c r="E9" t="s">
        <v>10</v>
      </c>
      <c r="F9" t="s">
        <v>13</v>
      </c>
      <c r="G9">
        <v>2</v>
      </c>
      <c r="H9" t="s">
        <v>46</v>
      </c>
    </row>
    <row r="10" spans="1:8" x14ac:dyDescent="0.3">
      <c r="A10" t="s">
        <v>27</v>
      </c>
      <c r="B10" t="s">
        <v>8</v>
      </c>
      <c r="C10" t="s">
        <v>47</v>
      </c>
      <c r="D10" t="s">
        <v>14</v>
      </c>
      <c r="E10" t="s">
        <v>10</v>
      </c>
      <c r="F10" t="s">
        <v>13</v>
      </c>
      <c r="G10">
        <v>1</v>
      </c>
      <c r="H10" t="s">
        <v>48</v>
      </c>
    </row>
    <row r="11" spans="1:8" x14ac:dyDescent="0.3">
      <c r="A11" t="s">
        <v>30</v>
      </c>
      <c r="B11" t="s">
        <v>8</v>
      </c>
      <c r="C11" t="s">
        <v>49</v>
      </c>
      <c r="D11" t="s">
        <v>9</v>
      </c>
      <c r="E11" t="s">
        <v>10</v>
      </c>
      <c r="F11" t="s">
        <v>11</v>
      </c>
      <c r="G11">
        <v>2</v>
      </c>
      <c r="H11" t="s">
        <v>50</v>
      </c>
    </row>
    <row r="12" spans="1:8" x14ac:dyDescent="0.3">
      <c r="A12" t="s">
        <v>33</v>
      </c>
      <c r="B12" t="s">
        <v>8</v>
      </c>
      <c r="C12" t="s">
        <v>51</v>
      </c>
      <c r="D12" t="s">
        <v>14</v>
      </c>
      <c r="E12" t="s">
        <v>15</v>
      </c>
      <c r="F12" t="s">
        <v>13</v>
      </c>
      <c r="G12">
        <v>2</v>
      </c>
      <c r="H12" t="s">
        <v>52</v>
      </c>
    </row>
    <row r="13" spans="1:8" x14ac:dyDescent="0.3">
      <c r="A13" t="s">
        <v>53</v>
      </c>
      <c r="B13" t="s">
        <v>8</v>
      </c>
      <c r="C13" t="s">
        <v>54</v>
      </c>
      <c r="D13" t="s">
        <v>14</v>
      </c>
      <c r="E13" t="s">
        <v>10</v>
      </c>
      <c r="F13" t="s">
        <v>13</v>
      </c>
      <c r="G13">
        <v>1</v>
      </c>
      <c r="H13" t="s">
        <v>55</v>
      </c>
    </row>
    <row r="14" spans="1:8" x14ac:dyDescent="0.3">
      <c r="A14" t="s">
        <v>33</v>
      </c>
      <c r="B14" t="s">
        <v>8</v>
      </c>
      <c r="C14" t="s">
        <v>56</v>
      </c>
      <c r="D14" t="s">
        <v>14</v>
      </c>
      <c r="E14" t="s">
        <v>10</v>
      </c>
      <c r="F14" t="s">
        <v>13</v>
      </c>
      <c r="G14">
        <v>2</v>
      </c>
      <c r="H14" t="s">
        <v>57</v>
      </c>
    </row>
    <row r="15" spans="1:8" x14ac:dyDescent="0.3">
      <c r="A15" t="s">
        <v>58</v>
      </c>
      <c r="B15" t="s">
        <v>8</v>
      </c>
      <c r="C15" t="s">
        <v>59</v>
      </c>
      <c r="D15" t="s">
        <v>12</v>
      </c>
      <c r="E15" t="s">
        <v>10</v>
      </c>
      <c r="F15" t="s">
        <v>13</v>
      </c>
      <c r="G15">
        <v>1</v>
      </c>
      <c r="H15" t="s">
        <v>60</v>
      </c>
    </row>
    <row r="16" spans="1:8" x14ac:dyDescent="0.3">
      <c r="A16" t="s">
        <v>27</v>
      </c>
      <c r="B16" t="s">
        <v>8</v>
      </c>
      <c r="C16" t="s">
        <v>61</v>
      </c>
      <c r="D16" t="s">
        <v>14</v>
      </c>
      <c r="E16" t="s">
        <v>10</v>
      </c>
      <c r="F16" t="s">
        <v>13</v>
      </c>
      <c r="G16">
        <v>1</v>
      </c>
      <c r="H16" t="s">
        <v>62</v>
      </c>
    </row>
    <row r="17" spans="1:8" x14ac:dyDescent="0.3">
      <c r="A17" t="s">
        <v>30</v>
      </c>
      <c r="B17" t="s">
        <v>8</v>
      </c>
      <c r="C17" t="s">
        <v>63</v>
      </c>
      <c r="D17" t="s">
        <v>12</v>
      </c>
      <c r="E17" t="s">
        <v>10</v>
      </c>
      <c r="F17" t="s">
        <v>13</v>
      </c>
      <c r="G17">
        <v>2</v>
      </c>
      <c r="H17" t="s">
        <v>64</v>
      </c>
    </row>
    <row r="18" spans="1:8" x14ac:dyDescent="0.3">
      <c r="A18" t="s">
        <v>36</v>
      </c>
      <c r="B18" t="s">
        <v>8</v>
      </c>
      <c r="C18" t="s">
        <v>65</v>
      </c>
      <c r="D18" t="s">
        <v>16</v>
      </c>
      <c r="E18" t="s">
        <v>10</v>
      </c>
      <c r="F18" t="s">
        <v>13</v>
      </c>
      <c r="G18">
        <v>4</v>
      </c>
      <c r="H18" t="s">
        <v>66</v>
      </c>
    </row>
    <row r="19" spans="1:8" x14ac:dyDescent="0.3">
      <c r="A19" t="s">
        <v>53</v>
      </c>
      <c r="B19" t="s">
        <v>8</v>
      </c>
      <c r="C19" t="s">
        <v>67</v>
      </c>
      <c r="D19" t="s">
        <v>9</v>
      </c>
      <c r="E19" t="s">
        <v>10</v>
      </c>
      <c r="F19" t="s">
        <v>11</v>
      </c>
      <c r="G19">
        <v>2</v>
      </c>
      <c r="H19" t="s">
        <v>68</v>
      </c>
    </row>
    <row r="20" spans="1:8" x14ac:dyDescent="0.3">
      <c r="A20" t="s">
        <v>33</v>
      </c>
      <c r="B20" t="s">
        <v>8</v>
      </c>
      <c r="C20" t="s">
        <v>69</v>
      </c>
      <c r="D20" t="s">
        <v>14</v>
      </c>
      <c r="E20" t="s">
        <v>10</v>
      </c>
      <c r="F20" t="s">
        <v>13</v>
      </c>
      <c r="G20">
        <v>3</v>
      </c>
      <c r="H20" t="s">
        <v>70</v>
      </c>
    </row>
    <row r="21" spans="1:8" x14ac:dyDescent="0.3">
      <c r="A21" t="s">
        <v>33</v>
      </c>
      <c r="B21" t="s">
        <v>8</v>
      </c>
      <c r="C21" t="s">
        <v>71</v>
      </c>
      <c r="D21" t="s">
        <v>14</v>
      </c>
      <c r="E21" t="s">
        <v>10</v>
      </c>
      <c r="F21" t="s">
        <v>13</v>
      </c>
      <c r="G21">
        <v>2</v>
      </c>
      <c r="H21" t="s">
        <v>72</v>
      </c>
    </row>
    <row r="22" spans="1:8" x14ac:dyDescent="0.3">
      <c r="A22" t="s">
        <v>33</v>
      </c>
      <c r="B22" t="s">
        <v>8</v>
      </c>
      <c r="C22" t="s">
        <v>73</v>
      </c>
      <c r="D22" t="s">
        <v>9</v>
      </c>
      <c r="E22" t="s">
        <v>10</v>
      </c>
      <c r="F22" t="s">
        <v>11</v>
      </c>
      <c r="G22">
        <v>2</v>
      </c>
      <c r="H22" t="s">
        <v>74</v>
      </c>
    </row>
    <row r="23" spans="1:8" x14ac:dyDescent="0.3">
      <c r="A23" t="s">
        <v>53</v>
      </c>
      <c r="B23" t="s">
        <v>8</v>
      </c>
      <c r="C23" t="s">
        <v>75</v>
      </c>
      <c r="D23" t="s">
        <v>14</v>
      </c>
      <c r="E23" t="s">
        <v>10</v>
      </c>
      <c r="F23" t="s">
        <v>13</v>
      </c>
      <c r="G23">
        <v>1</v>
      </c>
      <c r="H23" t="s">
        <v>76</v>
      </c>
    </row>
    <row r="24" spans="1:8" x14ac:dyDescent="0.3">
      <c r="A24" t="s">
        <v>36</v>
      </c>
      <c r="B24" t="s">
        <v>8</v>
      </c>
      <c r="C24" t="s">
        <v>77</v>
      </c>
      <c r="D24" t="s">
        <v>9</v>
      </c>
      <c r="E24" t="s">
        <v>10</v>
      </c>
      <c r="F24" t="s">
        <v>11</v>
      </c>
      <c r="G24">
        <v>1</v>
      </c>
      <c r="H24" t="s">
        <v>78</v>
      </c>
    </row>
    <row r="25" spans="1:8" x14ac:dyDescent="0.3">
      <c r="A25" t="s">
        <v>36</v>
      </c>
      <c r="B25" t="s">
        <v>8</v>
      </c>
      <c r="C25" t="s">
        <v>79</v>
      </c>
      <c r="D25" t="s">
        <v>14</v>
      </c>
      <c r="E25" t="s">
        <v>15</v>
      </c>
      <c r="F25" t="s">
        <v>13</v>
      </c>
      <c r="G25">
        <v>6</v>
      </c>
      <c r="H25" t="s">
        <v>80</v>
      </c>
    </row>
    <row r="26" spans="1:8" x14ac:dyDescent="0.3">
      <c r="A26" t="s">
        <v>33</v>
      </c>
      <c r="B26" t="s">
        <v>8</v>
      </c>
      <c r="C26" t="s">
        <v>81</v>
      </c>
      <c r="D26" t="s">
        <v>12</v>
      </c>
      <c r="E26" t="s">
        <v>10</v>
      </c>
      <c r="F26" t="s">
        <v>13</v>
      </c>
      <c r="G26">
        <v>2</v>
      </c>
      <c r="H26" t="s">
        <v>82</v>
      </c>
    </row>
    <row r="27" spans="1:8" x14ac:dyDescent="0.3">
      <c r="A27" t="s">
        <v>58</v>
      </c>
      <c r="B27" t="s">
        <v>8</v>
      </c>
      <c r="C27" t="s">
        <v>83</v>
      </c>
      <c r="D27" t="s">
        <v>12</v>
      </c>
      <c r="E27" t="s">
        <v>10</v>
      </c>
      <c r="F27" t="s">
        <v>13</v>
      </c>
      <c r="G27">
        <v>1</v>
      </c>
      <c r="H27" t="s">
        <v>84</v>
      </c>
    </row>
    <row r="28" spans="1:8" x14ac:dyDescent="0.3">
      <c r="A28" t="s">
        <v>36</v>
      </c>
      <c r="B28" t="s">
        <v>8</v>
      </c>
      <c r="C28" t="s">
        <v>85</v>
      </c>
      <c r="D28" t="s">
        <v>9</v>
      </c>
      <c r="E28" t="s">
        <v>10</v>
      </c>
      <c r="F28" t="s">
        <v>11</v>
      </c>
      <c r="G28">
        <v>2</v>
      </c>
      <c r="H28" t="s">
        <v>86</v>
      </c>
    </row>
    <row r="29" spans="1:8" x14ac:dyDescent="0.3">
      <c r="A29" t="s">
        <v>30</v>
      </c>
      <c r="B29" t="s">
        <v>8</v>
      </c>
      <c r="C29" t="s">
        <v>87</v>
      </c>
      <c r="D29" t="s">
        <v>12</v>
      </c>
      <c r="E29" t="s">
        <v>10</v>
      </c>
      <c r="F29" t="s">
        <v>13</v>
      </c>
      <c r="G29">
        <v>3</v>
      </c>
      <c r="H29" t="s">
        <v>88</v>
      </c>
    </row>
    <row r="30" spans="1:8" x14ac:dyDescent="0.3">
      <c r="A30" t="s">
        <v>30</v>
      </c>
      <c r="B30" t="s">
        <v>8</v>
      </c>
      <c r="C30" t="s">
        <v>89</v>
      </c>
      <c r="D30" t="s">
        <v>14</v>
      </c>
      <c r="E30" t="s">
        <v>10</v>
      </c>
      <c r="F30" t="s">
        <v>13</v>
      </c>
      <c r="G30">
        <v>2</v>
      </c>
      <c r="H30" t="s">
        <v>90</v>
      </c>
    </row>
    <row r="31" spans="1:8" x14ac:dyDescent="0.3">
      <c r="A31" t="s">
        <v>36</v>
      </c>
      <c r="B31" t="s">
        <v>8</v>
      </c>
      <c r="C31" t="s">
        <v>91</v>
      </c>
      <c r="D31" t="s">
        <v>9</v>
      </c>
      <c r="E31" t="s">
        <v>10</v>
      </c>
      <c r="F31" t="s">
        <v>11</v>
      </c>
      <c r="G31">
        <v>4</v>
      </c>
      <c r="H31" t="s">
        <v>92</v>
      </c>
    </row>
    <row r="32" spans="1:8" x14ac:dyDescent="0.3">
      <c r="A32" t="s">
        <v>33</v>
      </c>
      <c r="B32" t="s">
        <v>8</v>
      </c>
      <c r="C32" t="s">
        <v>93</v>
      </c>
      <c r="D32" t="s">
        <v>12</v>
      </c>
      <c r="E32" t="s">
        <v>15</v>
      </c>
      <c r="F32" t="s">
        <v>13</v>
      </c>
      <c r="G32">
        <v>2</v>
      </c>
      <c r="H32" t="s">
        <v>46</v>
      </c>
    </row>
    <row r="33" spans="1:8" x14ac:dyDescent="0.3">
      <c r="A33" t="s">
        <v>33</v>
      </c>
      <c r="B33" t="s">
        <v>8</v>
      </c>
      <c r="C33" t="s">
        <v>94</v>
      </c>
      <c r="D33" t="s">
        <v>12</v>
      </c>
      <c r="E33" t="s">
        <v>10</v>
      </c>
      <c r="F33" t="s">
        <v>13</v>
      </c>
      <c r="G33">
        <v>2</v>
      </c>
      <c r="H33" t="s">
        <v>95</v>
      </c>
    </row>
    <row r="34" spans="1:8" x14ac:dyDescent="0.3">
      <c r="A34" t="s">
        <v>27</v>
      </c>
      <c r="B34" t="s">
        <v>8</v>
      </c>
      <c r="C34" t="s">
        <v>96</v>
      </c>
      <c r="D34" t="s">
        <v>12</v>
      </c>
      <c r="E34" t="s">
        <v>10</v>
      </c>
      <c r="F34" t="s">
        <v>13</v>
      </c>
      <c r="G34">
        <v>2</v>
      </c>
      <c r="H34" t="s">
        <v>48</v>
      </c>
    </row>
    <row r="35" spans="1:8" x14ac:dyDescent="0.3">
      <c r="A35" t="s">
        <v>58</v>
      </c>
      <c r="B35" t="s">
        <v>8</v>
      </c>
      <c r="C35" t="s">
        <v>97</v>
      </c>
      <c r="D35" t="s">
        <v>12</v>
      </c>
      <c r="E35" t="s">
        <v>10</v>
      </c>
      <c r="F35" t="s">
        <v>13</v>
      </c>
      <c r="G35">
        <v>1</v>
      </c>
      <c r="H35" t="s">
        <v>98</v>
      </c>
    </row>
    <row r="36" spans="1:8" x14ac:dyDescent="0.3">
      <c r="A36" t="s">
        <v>53</v>
      </c>
      <c r="B36" t="s">
        <v>8</v>
      </c>
      <c r="C36" t="s">
        <v>99</v>
      </c>
      <c r="D36" t="s">
        <v>14</v>
      </c>
      <c r="E36" t="s">
        <v>15</v>
      </c>
      <c r="F36" t="s">
        <v>13</v>
      </c>
      <c r="G36">
        <v>4</v>
      </c>
      <c r="H36" t="s">
        <v>100</v>
      </c>
    </row>
    <row r="37" spans="1:8" x14ac:dyDescent="0.3">
      <c r="A37" t="s">
        <v>36</v>
      </c>
      <c r="B37" t="s">
        <v>8</v>
      </c>
      <c r="C37" t="s">
        <v>101</v>
      </c>
      <c r="D37" t="s">
        <v>14</v>
      </c>
      <c r="E37" t="s">
        <v>10</v>
      </c>
      <c r="F37" t="s">
        <v>13</v>
      </c>
      <c r="G37">
        <v>2</v>
      </c>
      <c r="H37" t="s">
        <v>102</v>
      </c>
    </row>
    <row r="38" spans="1:8" x14ac:dyDescent="0.3">
      <c r="A38" t="s">
        <v>33</v>
      </c>
      <c r="B38" t="s">
        <v>8</v>
      </c>
      <c r="C38" t="s">
        <v>103</v>
      </c>
      <c r="D38" t="s">
        <v>14</v>
      </c>
      <c r="E38" t="s">
        <v>10</v>
      </c>
      <c r="F38" t="s">
        <v>13</v>
      </c>
      <c r="G38">
        <v>2</v>
      </c>
      <c r="H38" t="s">
        <v>104</v>
      </c>
    </row>
    <row r="39" spans="1:8" x14ac:dyDescent="0.3">
      <c r="A39" t="s">
        <v>36</v>
      </c>
      <c r="B39" t="s">
        <v>8</v>
      </c>
      <c r="C39" t="s">
        <v>105</v>
      </c>
      <c r="D39" t="s">
        <v>14</v>
      </c>
      <c r="E39" t="s">
        <v>10</v>
      </c>
      <c r="F39" t="s">
        <v>13</v>
      </c>
      <c r="G39">
        <v>2</v>
      </c>
      <c r="H39" t="s">
        <v>57</v>
      </c>
    </row>
    <row r="40" spans="1:8" x14ac:dyDescent="0.3">
      <c r="A40" t="s">
        <v>58</v>
      </c>
      <c r="B40" t="s">
        <v>8</v>
      </c>
      <c r="C40" t="s">
        <v>106</v>
      </c>
      <c r="D40" t="s">
        <v>12</v>
      </c>
      <c r="E40" t="s">
        <v>10</v>
      </c>
      <c r="F40" t="s">
        <v>13</v>
      </c>
      <c r="G40">
        <v>2</v>
      </c>
      <c r="H40" t="s">
        <v>107</v>
      </c>
    </row>
    <row r="41" spans="1:8" x14ac:dyDescent="0.3">
      <c r="A41" t="s">
        <v>36</v>
      </c>
      <c r="B41" t="s">
        <v>8</v>
      </c>
      <c r="C41" t="s">
        <v>108</v>
      </c>
      <c r="D41" t="s">
        <v>9</v>
      </c>
      <c r="E41" t="s">
        <v>10</v>
      </c>
      <c r="F41" t="s">
        <v>11</v>
      </c>
      <c r="G41">
        <v>3</v>
      </c>
      <c r="H41" t="s">
        <v>109</v>
      </c>
    </row>
    <row r="42" spans="1:8" x14ac:dyDescent="0.3">
      <c r="A42" t="s">
        <v>53</v>
      </c>
      <c r="B42" t="s">
        <v>8</v>
      </c>
      <c r="C42" t="s">
        <v>110</v>
      </c>
      <c r="D42" t="s">
        <v>14</v>
      </c>
      <c r="E42" t="s">
        <v>10</v>
      </c>
      <c r="F42" t="s">
        <v>13</v>
      </c>
      <c r="G42">
        <v>2</v>
      </c>
      <c r="H42" t="s">
        <v>111</v>
      </c>
    </row>
    <row r="43" spans="1:8" x14ac:dyDescent="0.3">
      <c r="A43" t="s">
        <v>112</v>
      </c>
      <c r="B43" t="s">
        <v>8</v>
      </c>
      <c r="C43" t="s">
        <v>113</v>
      </c>
      <c r="D43" t="s">
        <v>12</v>
      </c>
      <c r="E43" t="s">
        <v>10</v>
      </c>
      <c r="F43" t="s">
        <v>13</v>
      </c>
      <c r="G43">
        <v>1</v>
      </c>
      <c r="H43" t="s">
        <v>114</v>
      </c>
    </row>
    <row r="44" spans="1:8" x14ac:dyDescent="0.3">
      <c r="A44" t="s">
        <v>36</v>
      </c>
      <c r="B44" t="s">
        <v>8</v>
      </c>
      <c r="C44" t="s">
        <v>115</v>
      </c>
      <c r="D44" t="s">
        <v>14</v>
      </c>
      <c r="E44" t="s">
        <v>10</v>
      </c>
      <c r="F44" t="s">
        <v>13</v>
      </c>
      <c r="G44">
        <v>2</v>
      </c>
      <c r="H44" t="s">
        <v>116</v>
      </c>
    </row>
    <row r="45" spans="1:8" x14ac:dyDescent="0.3">
      <c r="A45" t="s">
        <v>36</v>
      </c>
      <c r="B45" t="s">
        <v>8</v>
      </c>
      <c r="C45" t="s">
        <v>118</v>
      </c>
      <c r="D45" t="s">
        <v>14</v>
      </c>
      <c r="E45" t="s">
        <v>15</v>
      </c>
      <c r="F45" t="s">
        <v>13</v>
      </c>
      <c r="G45">
        <v>2</v>
      </c>
      <c r="H45" t="s">
        <v>119</v>
      </c>
    </row>
    <row r="46" spans="1:8" x14ac:dyDescent="0.3">
      <c r="A46" t="s">
        <v>36</v>
      </c>
      <c r="B46" t="s">
        <v>8</v>
      </c>
      <c r="C46" t="s">
        <v>120</v>
      </c>
      <c r="D46" t="s">
        <v>14</v>
      </c>
      <c r="E46" t="s">
        <v>15</v>
      </c>
      <c r="F46" t="s">
        <v>13</v>
      </c>
      <c r="G46">
        <v>2</v>
      </c>
      <c r="H46" t="s">
        <v>121</v>
      </c>
    </row>
    <row r="47" spans="1:8" x14ac:dyDescent="0.3">
      <c r="A47" t="s">
        <v>30</v>
      </c>
      <c r="B47" t="s">
        <v>8</v>
      </c>
      <c r="C47" t="s">
        <v>108</v>
      </c>
      <c r="D47" t="s">
        <v>14</v>
      </c>
      <c r="E47" t="s">
        <v>10</v>
      </c>
      <c r="F47" t="s">
        <v>13</v>
      </c>
      <c r="G47">
        <v>1</v>
      </c>
      <c r="H47" t="s">
        <v>122</v>
      </c>
    </row>
    <row r="48" spans="1:8" x14ac:dyDescent="0.3">
      <c r="A48" t="s">
        <v>58</v>
      </c>
      <c r="B48" t="s">
        <v>8</v>
      </c>
      <c r="C48" t="s">
        <v>123</v>
      </c>
      <c r="D48" t="s">
        <v>12</v>
      </c>
      <c r="E48" t="s">
        <v>10</v>
      </c>
      <c r="F48" t="s">
        <v>13</v>
      </c>
      <c r="G48">
        <v>1</v>
      </c>
      <c r="H48" t="s">
        <v>124</v>
      </c>
    </row>
    <row r="49" spans="1:8" x14ac:dyDescent="0.3">
      <c r="A49" t="s">
        <v>33</v>
      </c>
      <c r="B49" t="s">
        <v>8</v>
      </c>
      <c r="C49" t="s">
        <v>125</v>
      </c>
      <c r="D49" t="s">
        <v>14</v>
      </c>
      <c r="E49" t="s">
        <v>15</v>
      </c>
      <c r="F49" t="s">
        <v>13</v>
      </c>
      <c r="G49">
        <v>2</v>
      </c>
      <c r="H49" t="s">
        <v>126</v>
      </c>
    </row>
    <row r="50" spans="1:8" x14ac:dyDescent="0.3">
      <c r="A50" t="s">
        <v>53</v>
      </c>
      <c r="B50" t="s">
        <v>8</v>
      </c>
      <c r="C50" t="s">
        <v>127</v>
      </c>
      <c r="D50" t="s">
        <v>14</v>
      </c>
      <c r="E50" t="s">
        <v>10</v>
      </c>
      <c r="F50" t="s">
        <v>13</v>
      </c>
      <c r="G50">
        <v>2</v>
      </c>
      <c r="H50" t="s">
        <v>128</v>
      </c>
    </row>
    <row r="51" spans="1:8" x14ac:dyDescent="0.3">
      <c r="A51" t="s">
        <v>36</v>
      </c>
      <c r="B51" t="s">
        <v>8</v>
      </c>
      <c r="C51" t="s">
        <v>129</v>
      </c>
      <c r="D51" t="s">
        <v>14</v>
      </c>
      <c r="E51" t="s">
        <v>10</v>
      </c>
      <c r="F51" t="s">
        <v>13</v>
      </c>
      <c r="G51">
        <v>1</v>
      </c>
      <c r="H51" t="s">
        <v>130</v>
      </c>
    </row>
    <row r="52" spans="1:8" x14ac:dyDescent="0.3">
      <c r="A52" t="s">
        <v>30</v>
      </c>
      <c r="B52" t="s">
        <v>8</v>
      </c>
      <c r="C52" t="s">
        <v>131</v>
      </c>
      <c r="D52" t="s">
        <v>9</v>
      </c>
      <c r="E52" t="s">
        <v>15</v>
      </c>
      <c r="F52" t="s">
        <v>11</v>
      </c>
      <c r="G52">
        <v>1</v>
      </c>
      <c r="H52" t="s">
        <v>132</v>
      </c>
    </row>
    <row r="53" spans="1:8" x14ac:dyDescent="0.3">
      <c r="A53" t="s">
        <v>30</v>
      </c>
      <c r="B53" t="s">
        <v>8</v>
      </c>
      <c r="C53" t="s">
        <v>133</v>
      </c>
      <c r="D53" t="s">
        <v>12</v>
      </c>
      <c r="E53" t="s">
        <v>10</v>
      </c>
      <c r="F53" t="s">
        <v>13</v>
      </c>
      <c r="G53">
        <v>2</v>
      </c>
      <c r="H53" t="s">
        <v>134</v>
      </c>
    </row>
    <row r="54" spans="1:8" x14ac:dyDescent="0.3">
      <c r="A54" t="s">
        <v>27</v>
      </c>
      <c r="B54" t="s">
        <v>8</v>
      </c>
      <c r="C54" t="s">
        <v>135</v>
      </c>
      <c r="D54" t="s">
        <v>12</v>
      </c>
      <c r="E54" t="s">
        <v>10</v>
      </c>
      <c r="F54" t="s">
        <v>13</v>
      </c>
      <c r="G54">
        <v>2</v>
      </c>
      <c r="H54" t="s">
        <v>136</v>
      </c>
    </row>
    <row r="55" spans="1:8" x14ac:dyDescent="0.3">
      <c r="A55" t="s">
        <v>30</v>
      </c>
      <c r="B55" t="s">
        <v>8</v>
      </c>
      <c r="C55" t="s">
        <v>137</v>
      </c>
      <c r="D55" t="s">
        <v>12</v>
      </c>
      <c r="E55" t="s">
        <v>10</v>
      </c>
      <c r="F55" t="s">
        <v>13</v>
      </c>
      <c r="G55">
        <v>3</v>
      </c>
      <c r="H55" t="s">
        <v>138</v>
      </c>
    </row>
    <row r="56" spans="1:8" x14ac:dyDescent="0.3">
      <c r="A56" t="s">
        <v>58</v>
      </c>
      <c r="B56" t="s">
        <v>8</v>
      </c>
      <c r="C56" t="s">
        <v>139</v>
      </c>
      <c r="D56" t="s">
        <v>12</v>
      </c>
      <c r="E56" t="s">
        <v>15</v>
      </c>
      <c r="F56" t="s">
        <v>13</v>
      </c>
      <c r="G56">
        <v>1</v>
      </c>
      <c r="H56" t="s">
        <v>114</v>
      </c>
    </row>
    <row r="57" spans="1:8" x14ac:dyDescent="0.3">
      <c r="A57" t="s">
        <v>53</v>
      </c>
      <c r="B57" t="s">
        <v>8</v>
      </c>
      <c r="C57" t="s">
        <v>140</v>
      </c>
      <c r="D57" t="s">
        <v>14</v>
      </c>
      <c r="E57" t="s">
        <v>10</v>
      </c>
      <c r="F57" t="s">
        <v>13</v>
      </c>
      <c r="G57">
        <v>1</v>
      </c>
      <c r="H57" t="s">
        <v>141</v>
      </c>
    </row>
    <row r="58" spans="1:8" x14ac:dyDescent="0.3">
      <c r="A58" t="s">
        <v>30</v>
      </c>
      <c r="B58" t="s">
        <v>8</v>
      </c>
      <c r="C58" t="s">
        <v>142</v>
      </c>
      <c r="D58" t="s">
        <v>14</v>
      </c>
      <c r="E58" t="s">
        <v>10</v>
      </c>
      <c r="F58" t="s">
        <v>13</v>
      </c>
      <c r="G58">
        <v>2</v>
      </c>
      <c r="H58" t="s">
        <v>143</v>
      </c>
    </row>
    <row r="59" spans="1:8" x14ac:dyDescent="0.3">
      <c r="A59" t="s">
        <v>30</v>
      </c>
      <c r="B59" t="s">
        <v>8</v>
      </c>
      <c r="C59" t="s">
        <v>144</v>
      </c>
      <c r="D59" t="s">
        <v>14</v>
      </c>
      <c r="E59" t="s">
        <v>10</v>
      </c>
      <c r="F59" t="s">
        <v>13</v>
      </c>
      <c r="G59">
        <v>2</v>
      </c>
      <c r="H59" t="s">
        <v>145</v>
      </c>
    </row>
    <row r="60" spans="1:8" x14ac:dyDescent="0.3">
      <c r="A60" t="s">
        <v>36</v>
      </c>
      <c r="B60" t="s">
        <v>8</v>
      </c>
      <c r="C60" t="s">
        <v>147</v>
      </c>
      <c r="D60" t="s">
        <v>16</v>
      </c>
      <c r="E60" t="s">
        <v>10</v>
      </c>
      <c r="F60" t="s">
        <v>13</v>
      </c>
      <c r="G60">
        <v>1</v>
      </c>
      <c r="H60" t="s">
        <v>148</v>
      </c>
    </row>
    <row r="61" spans="1:8" x14ac:dyDescent="0.3">
      <c r="A61" t="s">
        <v>33</v>
      </c>
      <c r="B61" t="s">
        <v>8</v>
      </c>
      <c r="C61" t="s">
        <v>139</v>
      </c>
      <c r="D61" t="s">
        <v>14</v>
      </c>
      <c r="E61" t="s">
        <v>10</v>
      </c>
      <c r="F61" t="s">
        <v>13</v>
      </c>
      <c r="G61">
        <v>2</v>
      </c>
      <c r="H61" t="s">
        <v>121</v>
      </c>
    </row>
    <row r="62" spans="1:8" x14ac:dyDescent="0.3">
      <c r="A62" t="s">
        <v>30</v>
      </c>
      <c r="B62" t="s">
        <v>8</v>
      </c>
      <c r="C62" t="s">
        <v>149</v>
      </c>
      <c r="D62" t="s">
        <v>14</v>
      </c>
      <c r="E62" t="s">
        <v>10</v>
      </c>
      <c r="F62" t="s">
        <v>13</v>
      </c>
      <c r="G62">
        <v>4</v>
      </c>
      <c r="H62" t="s">
        <v>150</v>
      </c>
    </row>
    <row r="63" spans="1:8" x14ac:dyDescent="0.3">
      <c r="A63" t="s">
        <v>112</v>
      </c>
      <c r="B63" t="s">
        <v>8</v>
      </c>
      <c r="C63" t="s">
        <v>151</v>
      </c>
      <c r="D63" t="s">
        <v>12</v>
      </c>
      <c r="E63" t="s">
        <v>10</v>
      </c>
      <c r="F63" t="s">
        <v>13</v>
      </c>
      <c r="G63">
        <v>1</v>
      </c>
      <c r="H63" t="s">
        <v>152</v>
      </c>
    </row>
    <row r="64" spans="1:8" x14ac:dyDescent="0.3">
      <c r="A64" t="s">
        <v>53</v>
      </c>
      <c r="B64" t="s">
        <v>8</v>
      </c>
      <c r="C64" t="s">
        <v>153</v>
      </c>
      <c r="D64" t="s">
        <v>14</v>
      </c>
      <c r="E64" t="s">
        <v>10</v>
      </c>
      <c r="F64" t="s">
        <v>13</v>
      </c>
      <c r="G64">
        <v>2</v>
      </c>
      <c r="H64" t="s">
        <v>48</v>
      </c>
    </row>
    <row r="65" spans="1:8" x14ac:dyDescent="0.3">
      <c r="A65" t="s">
        <v>36</v>
      </c>
      <c r="B65" t="s">
        <v>8</v>
      </c>
      <c r="C65" t="s">
        <v>154</v>
      </c>
      <c r="D65" t="s">
        <v>9</v>
      </c>
      <c r="E65" t="s">
        <v>10</v>
      </c>
      <c r="F65" t="s">
        <v>11</v>
      </c>
      <c r="G65">
        <v>1</v>
      </c>
      <c r="H65" t="s">
        <v>155</v>
      </c>
    </row>
    <row r="66" spans="1:8" x14ac:dyDescent="0.3">
      <c r="A66" t="s">
        <v>112</v>
      </c>
      <c r="B66" t="s">
        <v>8</v>
      </c>
      <c r="C66" t="s">
        <v>156</v>
      </c>
      <c r="D66" t="s">
        <v>17</v>
      </c>
      <c r="E66" t="s">
        <v>10</v>
      </c>
      <c r="F66" t="s">
        <v>13</v>
      </c>
      <c r="G66">
        <v>1</v>
      </c>
      <c r="H66" t="s">
        <v>157</v>
      </c>
    </row>
    <row r="67" spans="1:8" x14ac:dyDescent="0.3">
      <c r="A67" t="s">
        <v>36</v>
      </c>
      <c r="B67" t="s">
        <v>8</v>
      </c>
      <c r="C67" t="s">
        <v>158</v>
      </c>
      <c r="D67" t="s">
        <v>14</v>
      </c>
      <c r="E67" t="s">
        <v>10</v>
      </c>
      <c r="F67" t="s">
        <v>13</v>
      </c>
      <c r="G67">
        <v>2</v>
      </c>
      <c r="H67" t="s">
        <v>159</v>
      </c>
    </row>
    <row r="68" spans="1:8" x14ac:dyDescent="0.3">
      <c r="A68" t="s">
        <v>53</v>
      </c>
      <c r="B68" t="s">
        <v>8</v>
      </c>
      <c r="C68" t="s">
        <v>160</v>
      </c>
      <c r="D68" t="s">
        <v>14</v>
      </c>
      <c r="E68" t="s">
        <v>10</v>
      </c>
      <c r="F68" t="s">
        <v>13</v>
      </c>
      <c r="G68">
        <v>2</v>
      </c>
      <c r="H68" t="s">
        <v>161</v>
      </c>
    </row>
    <row r="69" spans="1:8" x14ac:dyDescent="0.3">
      <c r="A69" t="s">
        <v>36</v>
      </c>
      <c r="B69" t="s">
        <v>8</v>
      </c>
      <c r="C69" t="s">
        <v>162</v>
      </c>
      <c r="D69" t="s">
        <v>14</v>
      </c>
      <c r="E69" t="s">
        <v>15</v>
      </c>
      <c r="F69" t="s">
        <v>13</v>
      </c>
      <c r="G69">
        <v>3</v>
      </c>
      <c r="H69" t="s">
        <v>46</v>
      </c>
    </row>
    <row r="70" spans="1:8" x14ac:dyDescent="0.3">
      <c r="A70" t="s">
        <v>36</v>
      </c>
      <c r="B70" t="s">
        <v>8</v>
      </c>
      <c r="C70" t="s">
        <v>125</v>
      </c>
      <c r="D70" t="s">
        <v>14</v>
      </c>
      <c r="E70" t="s">
        <v>10</v>
      </c>
      <c r="F70" t="s">
        <v>13</v>
      </c>
      <c r="G70">
        <v>1</v>
      </c>
      <c r="H70" t="s">
        <v>163</v>
      </c>
    </row>
    <row r="71" spans="1:8" x14ac:dyDescent="0.3">
      <c r="A71" t="s">
        <v>30</v>
      </c>
      <c r="B71" t="s">
        <v>8</v>
      </c>
      <c r="C71" t="s">
        <v>164</v>
      </c>
      <c r="D71" t="s">
        <v>12</v>
      </c>
      <c r="E71" t="s">
        <v>10</v>
      </c>
      <c r="F71" t="s">
        <v>13</v>
      </c>
      <c r="G71">
        <v>2</v>
      </c>
      <c r="H71" t="s">
        <v>165</v>
      </c>
    </row>
    <row r="72" spans="1:8" x14ac:dyDescent="0.3">
      <c r="A72" t="s">
        <v>30</v>
      </c>
      <c r="B72" t="s">
        <v>8</v>
      </c>
      <c r="C72" t="s">
        <v>166</v>
      </c>
      <c r="D72" t="s">
        <v>14</v>
      </c>
      <c r="E72" t="s">
        <v>10</v>
      </c>
      <c r="F72" t="s">
        <v>13</v>
      </c>
      <c r="G72">
        <v>2</v>
      </c>
      <c r="H72" t="s">
        <v>126</v>
      </c>
    </row>
    <row r="73" spans="1:8" x14ac:dyDescent="0.3">
      <c r="A73" t="s">
        <v>27</v>
      </c>
      <c r="B73" t="s">
        <v>8</v>
      </c>
      <c r="C73" t="s">
        <v>167</v>
      </c>
      <c r="D73" t="s">
        <v>14</v>
      </c>
      <c r="E73" t="s">
        <v>10</v>
      </c>
      <c r="F73" t="s">
        <v>13</v>
      </c>
      <c r="G73">
        <v>3</v>
      </c>
      <c r="H73" t="s">
        <v>168</v>
      </c>
    </row>
    <row r="74" spans="1:8" x14ac:dyDescent="0.3">
      <c r="A74" t="s">
        <v>58</v>
      </c>
      <c r="B74" t="s">
        <v>8</v>
      </c>
      <c r="C74" t="s">
        <v>169</v>
      </c>
      <c r="D74" t="s">
        <v>12</v>
      </c>
      <c r="E74" t="s">
        <v>15</v>
      </c>
      <c r="F74" t="s">
        <v>13</v>
      </c>
      <c r="G74">
        <v>2</v>
      </c>
      <c r="H74" t="s">
        <v>170</v>
      </c>
    </row>
    <row r="75" spans="1:8" x14ac:dyDescent="0.3">
      <c r="A75" t="s">
        <v>33</v>
      </c>
      <c r="B75" t="s">
        <v>8</v>
      </c>
      <c r="C75" t="s">
        <v>171</v>
      </c>
      <c r="D75" t="s">
        <v>12</v>
      </c>
      <c r="E75" t="s">
        <v>10</v>
      </c>
      <c r="F75" t="s">
        <v>13</v>
      </c>
      <c r="G75">
        <v>2</v>
      </c>
      <c r="H75" t="s">
        <v>172</v>
      </c>
    </row>
    <row r="76" spans="1:8" x14ac:dyDescent="0.3">
      <c r="A76" t="s">
        <v>27</v>
      </c>
      <c r="B76" t="s">
        <v>8</v>
      </c>
      <c r="C76" t="s">
        <v>173</v>
      </c>
      <c r="D76" t="s">
        <v>9</v>
      </c>
      <c r="E76" t="s">
        <v>15</v>
      </c>
      <c r="F76" t="s">
        <v>11</v>
      </c>
      <c r="G76">
        <v>1</v>
      </c>
      <c r="H76" t="s">
        <v>174</v>
      </c>
    </row>
    <row r="77" spans="1:8" x14ac:dyDescent="0.3">
      <c r="A77" t="s">
        <v>33</v>
      </c>
      <c r="B77" t="s">
        <v>8</v>
      </c>
      <c r="C77" t="s">
        <v>175</v>
      </c>
      <c r="D77" t="s">
        <v>14</v>
      </c>
      <c r="E77" t="s">
        <v>10</v>
      </c>
      <c r="F77" t="s">
        <v>13</v>
      </c>
      <c r="G77">
        <v>2</v>
      </c>
      <c r="H77" t="s">
        <v>176</v>
      </c>
    </row>
    <row r="78" spans="1:8" x14ac:dyDescent="0.3">
      <c r="A78" t="s">
        <v>112</v>
      </c>
      <c r="B78" t="s">
        <v>8</v>
      </c>
      <c r="C78" t="s">
        <v>177</v>
      </c>
      <c r="D78" t="s">
        <v>12</v>
      </c>
      <c r="E78" t="s">
        <v>15</v>
      </c>
      <c r="F78" t="s">
        <v>13</v>
      </c>
      <c r="G78">
        <v>1</v>
      </c>
      <c r="H78" t="s">
        <v>178</v>
      </c>
    </row>
    <row r="79" spans="1:8" x14ac:dyDescent="0.3">
      <c r="A79" t="s">
        <v>30</v>
      </c>
      <c r="B79" t="s">
        <v>8</v>
      </c>
      <c r="C79" t="s">
        <v>179</v>
      </c>
      <c r="D79" t="s">
        <v>12</v>
      </c>
      <c r="E79" t="s">
        <v>15</v>
      </c>
      <c r="F79" t="s">
        <v>13</v>
      </c>
      <c r="G79">
        <v>2</v>
      </c>
      <c r="H79" t="s">
        <v>180</v>
      </c>
    </row>
    <row r="80" spans="1:8" x14ac:dyDescent="0.3">
      <c r="A80" t="s">
        <v>30</v>
      </c>
      <c r="B80" t="s">
        <v>8</v>
      </c>
      <c r="C80" t="s">
        <v>181</v>
      </c>
      <c r="D80" t="s">
        <v>9</v>
      </c>
      <c r="E80" t="s">
        <v>10</v>
      </c>
      <c r="F80" t="s">
        <v>11</v>
      </c>
      <c r="G80">
        <v>1</v>
      </c>
      <c r="H80" t="s">
        <v>182</v>
      </c>
    </row>
    <row r="81" spans="1:8" x14ac:dyDescent="0.3">
      <c r="A81" t="s">
        <v>30</v>
      </c>
      <c r="B81" t="s">
        <v>8</v>
      </c>
      <c r="C81" t="s">
        <v>183</v>
      </c>
      <c r="D81" t="s">
        <v>12</v>
      </c>
      <c r="E81" t="s">
        <v>10</v>
      </c>
      <c r="F81" t="s">
        <v>13</v>
      </c>
      <c r="G81">
        <v>3</v>
      </c>
      <c r="H81" t="s">
        <v>184</v>
      </c>
    </row>
    <row r="82" spans="1:8" x14ac:dyDescent="0.3">
      <c r="A82" t="s">
        <v>33</v>
      </c>
      <c r="B82" t="s">
        <v>8</v>
      </c>
      <c r="C82" t="s">
        <v>185</v>
      </c>
      <c r="D82" t="s">
        <v>12</v>
      </c>
      <c r="E82" t="s">
        <v>10</v>
      </c>
      <c r="F82" t="s">
        <v>13</v>
      </c>
      <c r="G82">
        <v>2</v>
      </c>
      <c r="H82" t="s">
        <v>128</v>
      </c>
    </row>
    <row r="83" spans="1:8" x14ac:dyDescent="0.3">
      <c r="A83" t="s">
        <v>33</v>
      </c>
      <c r="B83" t="s">
        <v>8</v>
      </c>
      <c r="C83" t="s">
        <v>179</v>
      </c>
      <c r="D83" t="s">
        <v>14</v>
      </c>
      <c r="E83" t="s">
        <v>10</v>
      </c>
      <c r="F83" t="s">
        <v>13</v>
      </c>
      <c r="G83">
        <v>3</v>
      </c>
      <c r="H83" t="s">
        <v>186</v>
      </c>
    </row>
    <row r="84" spans="1:8" x14ac:dyDescent="0.3">
      <c r="A84" t="s">
        <v>30</v>
      </c>
      <c r="B84" t="s">
        <v>8</v>
      </c>
      <c r="C84" t="s">
        <v>187</v>
      </c>
      <c r="D84" t="s">
        <v>12</v>
      </c>
      <c r="E84" t="s">
        <v>15</v>
      </c>
      <c r="F84" t="s">
        <v>13</v>
      </c>
      <c r="G84">
        <v>1</v>
      </c>
      <c r="H84" t="s">
        <v>121</v>
      </c>
    </row>
    <row r="85" spans="1:8" x14ac:dyDescent="0.3">
      <c r="A85" t="s">
        <v>58</v>
      </c>
      <c r="B85" t="s">
        <v>8</v>
      </c>
      <c r="C85" t="s">
        <v>188</v>
      </c>
      <c r="D85" t="s">
        <v>12</v>
      </c>
      <c r="E85" t="s">
        <v>15</v>
      </c>
      <c r="F85" t="s">
        <v>13</v>
      </c>
      <c r="G85">
        <v>2</v>
      </c>
      <c r="H85" t="s">
        <v>189</v>
      </c>
    </row>
    <row r="86" spans="1:8" x14ac:dyDescent="0.3">
      <c r="A86" t="s">
        <v>33</v>
      </c>
      <c r="B86" t="s">
        <v>8</v>
      </c>
      <c r="C86" t="s">
        <v>190</v>
      </c>
      <c r="D86" t="s">
        <v>9</v>
      </c>
      <c r="E86" t="s">
        <v>10</v>
      </c>
      <c r="F86" t="s">
        <v>11</v>
      </c>
      <c r="G86">
        <v>1</v>
      </c>
      <c r="H86" t="s">
        <v>191</v>
      </c>
    </row>
    <row r="87" spans="1:8" x14ac:dyDescent="0.3">
      <c r="A87" t="s">
        <v>33</v>
      </c>
      <c r="B87" t="s">
        <v>8</v>
      </c>
      <c r="C87" t="s">
        <v>192</v>
      </c>
      <c r="D87" t="s">
        <v>14</v>
      </c>
      <c r="E87" t="s">
        <v>15</v>
      </c>
      <c r="F87" t="s">
        <v>13</v>
      </c>
      <c r="G87">
        <v>2</v>
      </c>
      <c r="H87" t="s">
        <v>193</v>
      </c>
    </row>
    <row r="88" spans="1:8" x14ac:dyDescent="0.3">
      <c r="A88" t="s">
        <v>58</v>
      </c>
      <c r="B88" t="s">
        <v>8</v>
      </c>
      <c r="C88" t="s">
        <v>194</v>
      </c>
      <c r="D88" t="s">
        <v>17</v>
      </c>
      <c r="E88" t="s">
        <v>10</v>
      </c>
      <c r="F88" t="s">
        <v>13</v>
      </c>
      <c r="G88">
        <v>1</v>
      </c>
      <c r="H88" t="s">
        <v>195</v>
      </c>
    </row>
    <row r="89" spans="1:8" x14ac:dyDescent="0.3">
      <c r="A89" t="s">
        <v>30</v>
      </c>
      <c r="B89" t="s">
        <v>8</v>
      </c>
      <c r="C89" t="s">
        <v>80</v>
      </c>
      <c r="D89" t="s">
        <v>12</v>
      </c>
      <c r="E89" t="s">
        <v>10</v>
      </c>
      <c r="F89" t="s">
        <v>13</v>
      </c>
      <c r="G89">
        <v>2</v>
      </c>
      <c r="H89" t="s">
        <v>196</v>
      </c>
    </row>
    <row r="90" spans="1:8" x14ac:dyDescent="0.3">
      <c r="A90" t="s">
        <v>36</v>
      </c>
      <c r="B90" t="s">
        <v>8</v>
      </c>
      <c r="C90" t="s">
        <v>197</v>
      </c>
      <c r="D90" t="s">
        <v>9</v>
      </c>
      <c r="E90" t="s">
        <v>10</v>
      </c>
      <c r="F90" t="s">
        <v>11</v>
      </c>
      <c r="G90">
        <v>3</v>
      </c>
      <c r="H90" t="s">
        <v>72</v>
      </c>
    </row>
    <row r="91" spans="1:8" x14ac:dyDescent="0.3">
      <c r="A91" t="s">
        <v>53</v>
      </c>
      <c r="B91" t="s">
        <v>8</v>
      </c>
      <c r="C91" t="s">
        <v>198</v>
      </c>
      <c r="D91" t="s">
        <v>14</v>
      </c>
      <c r="E91" t="s">
        <v>10</v>
      </c>
      <c r="F91" t="s">
        <v>13</v>
      </c>
      <c r="G91">
        <v>3</v>
      </c>
      <c r="H91" t="s">
        <v>199</v>
      </c>
    </row>
    <row r="92" spans="1:8" x14ac:dyDescent="0.3">
      <c r="A92" t="s">
        <v>53</v>
      </c>
      <c r="B92" t="s">
        <v>8</v>
      </c>
      <c r="C92" t="s">
        <v>54</v>
      </c>
      <c r="D92" t="s">
        <v>12</v>
      </c>
      <c r="E92" t="s">
        <v>10</v>
      </c>
      <c r="F92" t="s">
        <v>13</v>
      </c>
      <c r="G92">
        <v>2</v>
      </c>
      <c r="H92" t="s">
        <v>200</v>
      </c>
    </row>
    <row r="93" spans="1:8" x14ac:dyDescent="0.3">
      <c r="A93" t="s">
        <v>27</v>
      </c>
      <c r="B93" t="s">
        <v>8</v>
      </c>
      <c r="C93" t="s">
        <v>201</v>
      </c>
      <c r="D93" t="s">
        <v>14</v>
      </c>
      <c r="E93" t="s">
        <v>10</v>
      </c>
      <c r="F93" t="s">
        <v>13</v>
      </c>
      <c r="G93">
        <v>2</v>
      </c>
      <c r="H93" t="s">
        <v>68</v>
      </c>
    </row>
    <row r="94" spans="1:8" x14ac:dyDescent="0.3">
      <c r="A94" t="s">
        <v>33</v>
      </c>
      <c r="B94" t="s">
        <v>8</v>
      </c>
      <c r="C94" t="s">
        <v>202</v>
      </c>
      <c r="D94" t="s">
        <v>14</v>
      </c>
      <c r="E94" t="s">
        <v>15</v>
      </c>
      <c r="F94" t="s">
        <v>13</v>
      </c>
      <c r="G94">
        <v>5</v>
      </c>
      <c r="H94" t="s">
        <v>203</v>
      </c>
    </row>
    <row r="95" spans="1:8" x14ac:dyDescent="0.3">
      <c r="A95" t="s">
        <v>30</v>
      </c>
      <c r="B95" t="s">
        <v>8</v>
      </c>
      <c r="C95" t="s">
        <v>204</v>
      </c>
      <c r="D95" t="s">
        <v>14</v>
      </c>
      <c r="E95" t="s">
        <v>10</v>
      </c>
      <c r="F95" t="s">
        <v>13</v>
      </c>
      <c r="G95">
        <v>1</v>
      </c>
      <c r="H95" t="s">
        <v>205</v>
      </c>
    </row>
    <row r="96" spans="1:8" x14ac:dyDescent="0.3">
      <c r="A96" t="s">
        <v>30</v>
      </c>
      <c r="B96" t="s">
        <v>8</v>
      </c>
      <c r="C96" t="s">
        <v>206</v>
      </c>
      <c r="D96" t="s">
        <v>14</v>
      </c>
      <c r="E96" t="s">
        <v>10</v>
      </c>
      <c r="F96" t="s">
        <v>13</v>
      </c>
      <c r="G96">
        <v>1</v>
      </c>
      <c r="H96" t="s">
        <v>207</v>
      </c>
    </row>
    <row r="97" spans="1:8" x14ac:dyDescent="0.3">
      <c r="A97" t="s">
        <v>27</v>
      </c>
      <c r="B97" t="s">
        <v>8</v>
      </c>
      <c r="C97" t="s">
        <v>208</v>
      </c>
      <c r="D97" t="s">
        <v>14</v>
      </c>
      <c r="E97" t="s">
        <v>10</v>
      </c>
      <c r="F97" t="s">
        <v>13</v>
      </c>
      <c r="G97">
        <v>1</v>
      </c>
      <c r="H97" t="s">
        <v>209</v>
      </c>
    </row>
    <row r="98" spans="1:8" x14ac:dyDescent="0.3">
      <c r="A98" t="s">
        <v>36</v>
      </c>
      <c r="B98" t="s">
        <v>8</v>
      </c>
      <c r="C98" t="s">
        <v>210</v>
      </c>
      <c r="D98" t="s">
        <v>9</v>
      </c>
      <c r="E98" t="s">
        <v>10</v>
      </c>
      <c r="F98" t="s">
        <v>11</v>
      </c>
      <c r="G98">
        <v>1</v>
      </c>
      <c r="H98" t="s">
        <v>211</v>
      </c>
    </row>
    <row r="99" spans="1:8" x14ac:dyDescent="0.3">
      <c r="A99" t="s">
        <v>53</v>
      </c>
      <c r="B99" t="s">
        <v>8</v>
      </c>
      <c r="C99" t="s">
        <v>212</v>
      </c>
      <c r="D99" t="s">
        <v>14</v>
      </c>
      <c r="E99" t="s">
        <v>10</v>
      </c>
      <c r="F99" t="s">
        <v>13</v>
      </c>
      <c r="G99">
        <v>2</v>
      </c>
      <c r="H99" t="s">
        <v>213</v>
      </c>
    </row>
    <row r="100" spans="1:8" x14ac:dyDescent="0.3">
      <c r="A100" t="s">
        <v>112</v>
      </c>
      <c r="B100" t="s">
        <v>8</v>
      </c>
      <c r="C100" t="s">
        <v>139</v>
      </c>
      <c r="D100" t="s">
        <v>12</v>
      </c>
      <c r="E100" t="s">
        <v>15</v>
      </c>
      <c r="F100" t="s">
        <v>13</v>
      </c>
      <c r="G100">
        <v>1</v>
      </c>
      <c r="H100" t="s">
        <v>214</v>
      </c>
    </row>
    <row r="101" spans="1:8" x14ac:dyDescent="0.3">
      <c r="A101" t="s">
        <v>33</v>
      </c>
      <c r="B101" t="s">
        <v>8</v>
      </c>
      <c r="C101" t="s">
        <v>215</v>
      </c>
      <c r="D101" t="s">
        <v>9</v>
      </c>
      <c r="E101" t="s">
        <v>10</v>
      </c>
      <c r="F101" t="s">
        <v>11</v>
      </c>
      <c r="G101">
        <v>2</v>
      </c>
      <c r="H101" t="s">
        <v>216</v>
      </c>
    </row>
    <row r="102" spans="1:8" x14ac:dyDescent="0.3">
      <c r="A102" t="s">
        <v>58</v>
      </c>
      <c r="B102" t="s">
        <v>8</v>
      </c>
      <c r="C102" t="s">
        <v>217</v>
      </c>
      <c r="D102" t="s">
        <v>12</v>
      </c>
      <c r="E102" t="s">
        <v>10</v>
      </c>
      <c r="F102" t="s">
        <v>13</v>
      </c>
      <c r="G102">
        <v>1</v>
      </c>
      <c r="H102" t="s">
        <v>218</v>
      </c>
    </row>
    <row r="103" spans="1:8" x14ac:dyDescent="0.3">
      <c r="A103" t="s">
        <v>30</v>
      </c>
      <c r="B103" t="s">
        <v>8</v>
      </c>
      <c r="C103" t="s">
        <v>219</v>
      </c>
      <c r="D103" t="s">
        <v>14</v>
      </c>
      <c r="E103" t="s">
        <v>10</v>
      </c>
      <c r="F103" t="s">
        <v>13</v>
      </c>
      <c r="G103">
        <v>2</v>
      </c>
      <c r="H103" t="s">
        <v>76</v>
      </c>
    </row>
    <row r="104" spans="1:8" x14ac:dyDescent="0.3">
      <c r="A104" t="s">
        <v>53</v>
      </c>
      <c r="B104" t="s">
        <v>8</v>
      </c>
      <c r="C104" t="s">
        <v>220</v>
      </c>
      <c r="D104" t="s">
        <v>9</v>
      </c>
      <c r="E104" t="s">
        <v>10</v>
      </c>
      <c r="F104" t="s">
        <v>11</v>
      </c>
      <c r="G104">
        <v>1</v>
      </c>
      <c r="H104" t="s">
        <v>221</v>
      </c>
    </row>
    <row r="105" spans="1:8" x14ac:dyDescent="0.3">
      <c r="A105" t="s">
        <v>53</v>
      </c>
      <c r="B105" t="s">
        <v>8</v>
      </c>
      <c r="C105" t="s">
        <v>222</v>
      </c>
      <c r="D105" t="s">
        <v>9</v>
      </c>
      <c r="E105" t="s">
        <v>10</v>
      </c>
      <c r="F105" t="s">
        <v>11</v>
      </c>
      <c r="G105">
        <v>2</v>
      </c>
      <c r="H105" t="s">
        <v>223</v>
      </c>
    </row>
    <row r="106" spans="1:8" x14ac:dyDescent="0.3">
      <c r="A106" t="s">
        <v>36</v>
      </c>
      <c r="B106" t="s">
        <v>8</v>
      </c>
      <c r="C106" t="s">
        <v>224</v>
      </c>
      <c r="D106" t="s">
        <v>14</v>
      </c>
      <c r="E106" t="s">
        <v>10</v>
      </c>
      <c r="F106" t="s">
        <v>13</v>
      </c>
      <c r="G106">
        <v>4</v>
      </c>
      <c r="H106" t="s">
        <v>225</v>
      </c>
    </row>
    <row r="107" spans="1:8" x14ac:dyDescent="0.3">
      <c r="A107" t="s">
        <v>30</v>
      </c>
      <c r="B107" t="s">
        <v>8</v>
      </c>
      <c r="C107" t="s">
        <v>226</v>
      </c>
      <c r="D107" t="s">
        <v>14</v>
      </c>
      <c r="E107" t="s">
        <v>10</v>
      </c>
      <c r="F107" t="s">
        <v>13</v>
      </c>
      <c r="G107">
        <v>4</v>
      </c>
      <c r="H107" t="s">
        <v>227</v>
      </c>
    </row>
    <row r="108" spans="1:8" x14ac:dyDescent="0.3">
      <c r="A108" t="s">
        <v>58</v>
      </c>
      <c r="B108" t="s">
        <v>8</v>
      </c>
      <c r="C108" t="s">
        <v>228</v>
      </c>
      <c r="D108" t="s">
        <v>12</v>
      </c>
      <c r="E108" t="s">
        <v>10</v>
      </c>
      <c r="F108" t="s">
        <v>13</v>
      </c>
      <c r="G108">
        <v>1</v>
      </c>
      <c r="H108" t="s">
        <v>229</v>
      </c>
    </row>
    <row r="109" spans="1:8" x14ac:dyDescent="0.3">
      <c r="A109" t="s">
        <v>33</v>
      </c>
      <c r="B109" t="s">
        <v>8</v>
      </c>
      <c r="C109" t="s">
        <v>230</v>
      </c>
      <c r="D109" t="s">
        <v>14</v>
      </c>
      <c r="E109" t="s">
        <v>10</v>
      </c>
      <c r="F109" t="s">
        <v>13</v>
      </c>
      <c r="G109">
        <v>2</v>
      </c>
      <c r="H109" t="s">
        <v>116</v>
      </c>
    </row>
    <row r="110" spans="1:8" x14ac:dyDescent="0.3">
      <c r="A110" t="s">
        <v>53</v>
      </c>
      <c r="B110" t="s">
        <v>8</v>
      </c>
      <c r="C110" t="s">
        <v>231</v>
      </c>
      <c r="D110" t="s">
        <v>14</v>
      </c>
      <c r="E110" t="s">
        <v>10</v>
      </c>
      <c r="F110" t="s">
        <v>13</v>
      </c>
      <c r="G110">
        <v>2</v>
      </c>
      <c r="H110" t="s">
        <v>232</v>
      </c>
    </row>
    <row r="111" spans="1:8" x14ac:dyDescent="0.3">
      <c r="A111" t="s">
        <v>36</v>
      </c>
      <c r="B111" t="s">
        <v>8</v>
      </c>
      <c r="C111" t="s">
        <v>233</v>
      </c>
      <c r="D111" t="s">
        <v>9</v>
      </c>
      <c r="E111" t="s">
        <v>10</v>
      </c>
      <c r="F111" t="s">
        <v>11</v>
      </c>
      <c r="G111">
        <v>4</v>
      </c>
      <c r="H111" t="s">
        <v>234</v>
      </c>
    </row>
    <row r="112" spans="1:8" x14ac:dyDescent="0.3">
      <c r="A112" t="s">
        <v>36</v>
      </c>
      <c r="B112" t="s">
        <v>8</v>
      </c>
      <c r="C112" t="s">
        <v>235</v>
      </c>
      <c r="D112" t="s">
        <v>14</v>
      </c>
      <c r="E112" t="s">
        <v>10</v>
      </c>
      <c r="F112" t="s">
        <v>13</v>
      </c>
      <c r="G112">
        <v>2</v>
      </c>
      <c r="H112" t="s">
        <v>236</v>
      </c>
    </row>
    <row r="113" spans="1:8" x14ac:dyDescent="0.3">
      <c r="A113" t="s">
        <v>36</v>
      </c>
      <c r="B113" t="s">
        <v>8</v>
      </c>
      <c r="C113" t="s">
        <v>237</v>
      </c>
      <c r="D113" t="s">
        <v>14</v>
      </c>
      <c r="E113" t="s">
        <v>15</v>
      </c>
      <c r="F113" t="s">
        <v>13</v>
      </c>
      <c r="G113">
        <v>3</v>
      </c>
      <c r="H113" t="s">
        <v>238</v>
      </c>
    </row>
    <row r="114" spans="1:8" x14ac:dyDescent="0.3">
      <c r="A114" t="s">
        <v>58</v>
      </c>
      <c r="B114" t="s">
        <v>8</v>
      </c>
      <c r="C114" t="s">
        <v>239</v>
      </c>
      <c r="D114" t="s">
        <v>12</v>
      </c>
      <c r="E114" t="s">
        <v>15</v>
      </c>
      <c r="F114" t="s">
        <v>13</v>
      </c>
      <c r="G114">
        <v>1</v>
      </c>
      <c r="H114" t="s">
        <v>240</v>
      </c>
    </row>
    <row r="115" spans="1:8" x14ac:dyDescent="0.3">
      <c r="A115" t="s">
        <v>30</v>
      </c>
      <c r="B115" t="s">
        <v>8</v>
      </c>
      <c r="C115" t="s">
        <v>241</v>
      </c>
      <c r="D115" t="s">
        <v>12</v>
      </c>
      <c r="E115" t="s">
        <v>10</v>
      </c>
      <c r="F115" t="s">
        <v>13</v>
      </c>
      <c r="G115">
        <v>2</v>
      </c>
      <c r="H115" t="s">
        <v>242</v>
      </c>
    </row>
    <row r="116" spans="1:8" x14ac:dyDescent="0.3">
      <c r="A116" t="s">
        <v>33</v>
      </c>
      <c r="B116" t="s">
        <v>8</v>
      </c>
      <c r="C116" t="s">
        <v>243</v>
      </c>
      <c r="D116" t="s">
        <v>14</v>
      </c>
      <c r="E116" t="s">
        <v>10</v>
      </c>
      <c r="F116" t="s">
        <v>13</v>
      </c>
      <c r="G116">
        <v>2</v>
      </c>
      <c r="H116" t="s">
        <v>244</v>
      </c>
    </row>
    <row r="117" spans="1:8" x14ac:dyDescent="0.3">
      <c r="A117" t="s">
        <v>58</v>
      </c>
      <c r="B117" t="s">
        <v>8</v>
      </c>
      <c r="C117" t="s">
        <v>245</v>
      </c>
      <c r="D117" t="s">
        <v>17</v>
      </c>
      <c r="E117" t="s">
        <v>15</v>
      </c>
      <c r="F117" t="s">
        <v>13</v>
      </c>
      <c r="G117">
        <v>2</v>
      </c>
      <c r="H117" t="s">
        <v>246</v>
      </c>
    </row>
    <row r="118" spans="1:8" x14ac:dyDescent="0.3">
      <c r="A118" t="s">
        <v>58</v>
      </c>
      <c r="B118" t="s">
        <v>8</v>
      </c>
      <c r="C118" t="s">
        <v>247</v>
      </c>
      <c r="D118" t="s">
        <v>12</v>
      </c>
      <c r="E118" t="s">
        <v>10</v>
      </c>
      <c r="F118" t="s">
        <v>13</v>
      </c>
      <c r="G118">
        <v>1</v>
      </c>
      <c r="H118" t="s">
        <v>248</v>
      </c>
    </row>
    <row r="119" spans="1:8" x14ac:dyDescent="0.3">
      <c r="A119" t="s">
        <v>30</v>
      </c>
      <c r="B119" t="s">
        <v>8</v>
      </c>
      <c r="C119" t="s">
        <v>249</v>
      </c>
      <c r="D119" t="s">
        <v>14</v>
      </c>
      <c r="E119" t="s">
        <v>10</v>
      </c>
      <c r="F119" t="s">
        <v>13</v>
      </c>
      <c r="G119">
        <v>3</v>
      </c>
      <c r="H119" t="s">
        <v>250</v>
      </c>
    </row>
    <row r="120" spans="1:8" x14ac:dyDescent="0.3">
      <c r="A120" t="s">
        <v>36</v>
      </c>
      <c r="B120" t="s">
        <v>8</v>
      </c>
      <c r="C120" t="s">
        <v>251</v>
      </c>
      <c r="D120" t="s">
        <v>9</v>
      </c>
      <c r="E120" t="s">
        <v>10</v>
      </c>
      <c r="F120" t="s">
        <v>11</v>
      </c>
      <c r="G120">
        <v>2</v>
      </c>
      <c r="H120" t="s">
        <v>117</v>
      </c>
    </row>
    <row r="121" spans="1:8" x14ac:dyDescent="0.3">
      <c r="A121" t="s">
        <v>53</v>
      </c>
      <c r="B121" t="s">
        <v>8</v>
      </c>
      <c r="C121" t="s">
        <v>61</v>
      </c>
      <c r="D121" t="s">
        <v>14</v>
      </c>
      <c r="E121" t="s">
        <v>15</v>
      </c>
      <c r="F121" t="s">
        <v>13</v>
      </c>
      <c r="G121">
        <v>2</v>
      </c>
      <c r="H121" t="s">
        <v>252</v>
      </c>
    </row>
    <row r="122" spans="1:8" x14ac:dyDescent="0.3">
      <c r="A122" t="s">
        <v>58</v>
      </c>
      <c r="B122" t="s">
        <v>8</v>
      </c>
      <c r="C122" t="s">
        <v>253</v>
      </c>
      <c r="D122" t="s">
        <v>12</v>
      </c>
      <c r="E122" t="s">
        <v>10</v>
      </c>
      <c r="F122" t="s">
        <v>13</v>
      </c>
      <c r="G122">
        <v>1</v>
      </c>
      <c r="H122" t="s">
        <v>254</v>
      </c>
    </row>
    <row r="123" spans="1:8" x14ac:dyDescent="0.3">
      <c r="A123" t="s">
        <v>30</v>
      </c>
      <c r="B123" t="s">
        <v>8</v>
      </c>
      <c r="C123" t="s">
        <v>255</v>
      </c>
      <c r="D123" t="s">
        <v>9</v>
      </c>
      <c r="E123" t="s">
        <v>10</v>
      </c>
      <c r="F123" t="s">
        <v>11</v>
      </c>
      <c r="G123">
        <v>2</v>
      </c>
      <c r="H123" t="s">
        <v>256</v>
      </c>
    </row>
    <row r="124" spans="1:8" x14ac:dyDescent="0.3">
      <c r="A124" t="s">
        <v>36</v>
      </c>
      <c r="B124" t="s">
        <v>8</v>
      </c>
      <c r="C124" t="s">
        <v>257</v>
      </c>
      <c r="D124" t="s">
        <v>14</v>
      </c>
      <c r="E124" t="s">
        <v>15</v>
      </c>
      <c r="F124" t="s">
        <v>13</v>
      </c>
      <c r="G124">
        <v>2</v>
      </c>
      <c r="H124" t="s">
        <v>258</v>
      </c>
    </row>
    <row r="125" spans="1:8" x14ac:dyDescent="0.3">
      <c r="A125" t="s">
        <v>27</v>
      </c>
      <c r="B125" t="s">
        <v>8</v>
      </c>
      <c r="C125" t="s">
        <v>259</v>
      </c>
      <c r="D125" t="s">
        <v>14</v>
      </c>
      <c r="E125" t="s">
        <v>15</v>
      </c>
      <c r="F125" t="s">
        <v>13</v>
      </c>
      <c r="G125">
        <v>1</v>
      </c>
      <c r="H125" t="s">
        <v>260</v>
      </c>
    </row>
    <row r="126" spans="1:8" x14ac:dyDescent="0.3">
      <c r="A126" t="s">
        <v>33</v>
      </c>
      <c r="B126" t="s">
        <v>8</v>
      </c>
      <c r="C126" t="s">
        <v>45</v>
      </c>
      <c r="D126" t="s">
        <v>9</v>
      </c>
      <c r="E126" t="s">
        <v>10</v>
      </c>
      <c r="F126" t="s">
        <v>11</v>
      </c>
      <c r="G126">
        <v>2</v>
      </c>
      <c r="H126" t="s">
        <v>261</v>
      </c>
    </row>
    <row r="127" spans="1:8" x14ac:dyDescent="0.3">
      <c r="A127" t="s">
        <v>33</v>
      </c>
      <c r="B127" t="s">
        <v>8</v>
      </c>
      <c r="C127" t="s">
        <v>262</v>
      </c>
      <c r="D127" t="s">
        <v>12</v>
      </c>
      <c r="E127" t="s">
        <v>10</v>
      </c>
      <c r="F127" t="s">
        <v>13</v>
      </c>
      <c r="G127">
        <v>1</v>
      </c>
      <c r="H127" t="s">
        <v>263</v>
      </c>
    </row>
    <row r="128" spans="1:8" x14ac:dyDescent="0.3">
      <c r="A128" t="s">
        <v>27</v>
      </c>
      <c r="B128" t="s">
        <v>8</v>
      </c>
      <c r="C128" t="s">
        <v>264</v>
      </c>
      <c r="D128" t="s">
        <v>14</v>
      </c>
      <c r="E128" t="s">
        <v>15</v>
      </c>
      <c r="F128" t="s">
        <v>13</v>
      </c>
      <c r="G128">
        <v>2</v>
      </c>
      <c r="H128" t="s">
        <v>265</v>
      </c>
    </row>
    <row r="129" spans="1:8" x14ac:dyDescent="0.3">
      <c r="A129" t="s">
        <v>30</v>
      </c>
      <c r="B129" t="s">
        <v>8</v>
      </c>
      <c r="C129" t="s">
        <v>167</v>
      </c>
      <c r="D129" t="s">
        <v>12</v>
      </c>
      <c r="E129" t="s">
        <v>10</v>
      </c>
      <c r="F129" t="s">
        <v>13</v>
      </c>
      <c r="G129">
        <v>2</v>
      </c>
      <c r="H129" t="s">
        <v>165</v>
      </c>
    </row>
    <row r="130" spans="1:8" x14ac:dyDescent="0.3">
      <c r="A130" t="s">
        <v>33</v>
      </c>
      <c r="B130" t="s">
        <v>8</v>
      </c>
      <c r="C130" t="s">
        <v>266</v>
      </c>
      <c r="D130" t="s">
        <v>14</v>
      </c>
      <c r="E130" t="s">
        <v>15</v>
      </c>
      <c r="F130" t="s">
        <v>13</v>
      </c>
      <c r="G130">
        <v>2</v>
      </c>
      <c r="H130" t="s">
        <v>119</v>
      </c>
    </row>
    <row r="131" spans="1:8" x14ac:dyDescent="0.3">
      <c r="A131" t="s">
        <v>58</v>
      </c>
      <c r="B131" t="s">
        <v>8</v>
      </c>
      <c r="C131" t="s">
        <v>267</v>
      </c>
      <c r="D131" t="s">
        <v>17</v>
      </c>
      <c r="E131" t="s">
        <v>10</v>
      </c>
      <c r="F131" t="s">
        <v>13</v>
      </c>
      <c r="G131">
        <v>1</v>
      </c>
      <c r="H131" t="s">
        <v>268</v>
      </c>
    </row>
    <row r="132" spans="1:8" x14ac:dyDescent="0.3">
      <c r="A132" t="s">
        <v>33</v>
      </c>
      <c r="B132" t="s">
        <v>8</v>
      </c>
      <c r="C132" t="s">
        <v>108</v>
      </c>
      <c r="D132" t="s">
        <v>12</v>
      </c>
      <c r="E132" t="s">
        <v>10</v>
      </c>
      <c r="F132" t="s">
        <v>13</v>
      </c>
      <c r="G132">
        <v>4</v>
      </c>
      <c r="H132" t="s">
        <v>269</v>
      </c>
    </row>
    <row r="133" spans="1:8" x14ac:dyDescent="0.3">
      <c r="A133" t="s">
        <v>30</v>
      </c>
      <c r="B133" t="s">
        <v>8</v>
      </c>
      <c r="C133" t="s">
        <v>270</v>
      </c>
      <c r="D133" t="s">
        <v>14</v>
      </c>
      <c r="E133" t="s">
        <v>10</v>
      </c>
      <c r="F133" t="s">
        <v>13</v>
      </c>
      <c r="G133">
        <v>3</v>
      </c>
      <c r="H133" t="s">
        <v>244</v>
      </c>
    </row>
    <row r="134" spans="1:8" x14ac:dyDescent="0.3">
      <c r="A134" t="s">
        <v>36</v>
      </c>
      <c r="B134" t="s">
        <v>8</v>
      </c>
      <c r="C134" t="s">
        <v>271</v>
      </c>
      <c r="D134" t="s">
        <v>14</v>
      </c>
      <c r="E134" t="s">
        <v>10</v>
      </c>
      <c r="F134" t="s">
        <v>13</v>
      </c>
      <c r="G134">
        <v>2</v>
      </c>
      <c r="H134" t="s">
        <v>272</v>
      </c>
    </row>
    <row r="135" spans="1:8" x14ac:dyDescent="0.3">
      <c r="A135" t="s">
        <v>273</v>
      </c>
      <c r="B135" t="s">
        <v>8</v>
      </c>
      <c r="C135" t="s">
        <v>274</v>
      </c>
      <c r="D135" t="s">
        <v>12</v>
      </c>
      <c r="E135" t="s">
        <v>15</v>
      </c>
      <c r="F135" t="s">
        <v>13</v>
      </c>
      <c r="G135">
        <v>1</v>
      </c>
      <c r="H135" t="s">
        <v>275</v>
      </c>
    </row>
    <row r="136" spans="1:8" x14ac:dyDescent="0.3">
      <c r="A136" t="s">
        <v>53</v>
      </c>
      <c r="B136" t="s">
        <v>8</v>
      </c>
      <c r="C136" t="s">
        <v>276</v>
      </c>
      <c r="D136" t="s">
        <v>14</v>
      </c>
      <c r="E136" t="s">
        <v>15</v>
      </c>
      <c r="F136" t="s">
        <v>13</v>
      </c>
      <c r="G136">
        <v>1</v>
      </c>
      <c r="H136" t="s">
        <v>277</v>
      </c>
    </row>
    <row r="137" spans="1:8" x14ac:dyDescent="0.3">
      <c r="A137" t="s">
        <v>33</v>
      </c>
      <c r="B137" t="s">
        <v>8</v>
      </c>
      <c r="C137" t="s">
        <v>278</v>
      </c>
      <c r="D137" t="s">
        <v>14</v>
      </c>
      <c r="E137" t="s">
        <v>10</v>
      </c>
      <c r="F137" t="s">
        <v>13</v>
      </c>
      <c r="G137">
        <v>2</v>
      </c>
      <c r="H137" t="s">
        <v>279</v>
      </c>
    </row>
    <row r="138" spans="1:8" x14ac:dyDescent="0.3">
      <c r="A138" t="s">
        <v>30</v>
      </c>
      <c r="B138" t="s">
        <v>8</v>
      </c>
      <c r="C138" t="s">
        <v>280</v>
      </c>
      <c r="D138" t="s">
        <v>9</v>
      </c>
      <c r="E138" t="s">
        <v>10</v>
      </c>
      <c r="F138" t="s">
        <v>11</v>
      </c>
      <c r="G138">
        <v>2</v>
      </c>
      <c r="H138" t="s">
        <v>281</v>
      </c>
    </row>
    <row r="139" spans="1:8" x14ac:dyDescent="0.3">
      <c r="A139" t="s">
        <v>27</v>
      </c>
      <c r="B139" t="s">
        <v>8</v>
      </c>
      <c r="C139" t="s">
        <v>282</v>
      </c>
      <c r="D139" t="s">
        <v>12</v>
      </c>
      <c r="E139" t="s">
        <v>10</v>
      </c>
      <c r="F139" t="s">
        <v>13</v>
      </c>
      <c r="G139">
        <v>3</v>
      </c>
      <c r="H139" t="s">
        <v>145</v>
      </c>
    </row>
    <row r="140" spans="1:8" x14ac:dyDescent="0.3">
      <c r="A140" t="s">
        <v>58</v>
      </c>
      <c r="B140" t="s">
        <v>8</v>
      </c>
      <c r="C140" t="s">
        <v>284</v>
      </c>
      <c r="D140" t="s">
        <v>12</v>
      </c>
      <c r="E140" t="s">
        <v>10</v>
      </c>
      <c r="F140" t="s">
        <v>13</v>
      </c>
      <c r="G140">
        <v>1</v>
      </c>
      <c r="H140" t="s">
        <v>285</v>
      </c>
    </row>
    <row r="141" spans="1:8" x14ac:dyDescent="0.3">
      <c r="A141" t="s">
        <v>27</v>
      </c>
      <c r="B141" t="s">
        <v>8</v>
      </c>
      <c r="C141" t="s">
        <v>286</v>
      </c>
      <c r="D141" t="s">
        <v>14</v>
      </c>
      <c r="E141" t="s">
        <v>15</v>
      </c>
      <c r="F141" t="s">
        <v>13</v>
      </c>
      <c r="G141">
        <v>2</v>
      </c>
      <c r="H141" t="s">
        <v>287</v>
      </c>
    </row>
    <row r="142" spans="1:8" x14ac:dyDescent="0.3">
      <c r="A142" t="s">
        <v>27</v>
      </c>
      <c r="B142" t="s">
        <v>8</v>
      </c>
      <c r="C142" t="s">
        <v>288</v>
      </c>
      <c r="D142" t="s">
        <v>12</v>
      </c>
      <c r="E142" t="s">
        <v>10</v>
      </c>
      <c r="F142" t="s">
        <v>13</v>
      </c>
      <c r="G142">
        <v>1</v>
      </c>
      <c r="H142" t="s">
        <v>289</v>
      </c>
    </row>
    <row r="143" spans="1:8" x14ac:dyDescent="0.3">
      <c r="A143" t="s">
        <v>27</v>
      </c>
      <c r="B143" t="s">
        <v>8</v>
      </c>
      <c r="C143" t="s">
        <v>290</v>
      </c>
      <c r="D143" t="s">
        <v>14</v>
      </c>
      <c r="E143" t="s">
        <v>10</v>
      </c>
      <c r="F143" t="s">
        <v>13</v>
      </c>
      <c r="G143">
        <v>2</v>
      </c>
      <c r="H143" t="s">
        <v>261</v>
      </c>
    </row>
    <row r="144" spans="1:8" x14ac:dyDescent="0.3">
      <c r="A144" t="s">
        <v>58</v>
      </c>
      <c r="B144" t="s">
        <v>8</v>
      </c>
      <c r="C144" t="s">
        <v>291</v>
      </c>
      <c r="D144" t="s">
        <v>17</v>
      </c>
      <c r="E144" t="s">
        <v>10</v>
      </c>
      <c r="F144" t="s">
        <v>13</v>
      </c>
      <c r="G144">
        <v>2</v>
      </c>
      <c r="H144" t="s">
        <v>292</v>
      </c>
    </row>
    <row r="145" spans="1:8" x14ac:dyDescent="0.3">
      <c r="A145" t="s">
        <v>33</v>
      </c>
      <c r="B145" t="s">
        <v>8</v>
      </c>
      <c r="C145" t="s">
        <v>45</v>
      </c>
      <c r="D145" t="s">
        <v>16</v>
      </c>
      <c r="E145" t="s">
        <v>10</v>
      </c>
      <c r="F145" t="s">
        <v>13</v>
      </c>
      <c r="G145">
        <v>2</v>
      </c>
      <c r="H145" t="s">
        <v>122</v>
      </c>
    </row>
    <row r="146" spans="1:8" x14ac:dyDescent="0.3">
      <c r="A146" t="s">
        <v>27</v>
      </c>
      <c r="B146" t="s">
        <v>8</v>
      </c>
      <c r="C146" t="s">
        <v>293</v>
      </c>
      <c r="D146" t="s">
        <v>12</v>
      </c>
      <c r="E146" t="s">
        <v>15</v>
      </c>
      <c r="F146" t="s">
        <v>13</v>
      </c>
      <c r="G146">
        <v>4</v>
      </c>
      <c r="H146" t="s">
        <v>294</v>
      </c>
    </row>
    <row r="147" spans="1:8" x14ac:dyDescent="0.3">
      <c r="A147" t="s">
        <v>27</v>
      </c>
      <c r="B147" t="s">
        <v>8</v>
      </c>
      <c r="C147" t="s">
        <v>295</v>
      </c>
      <c r="D147" t="s">
        <v>14</v>
      </c>
      <c r="E147" t="s">
        <v>15</v>
      </c>
      <c r="F147" t="s">
        <v>13</v>
      </c>
      <c r="G147">
        <v>1</v>
      </c>
      <c r="H147" t="s">
        <v>296</v>
      </c>
    </row>
    <row r="148" spans="1:8" x14ac:dyDescent="0.3">
      <c r="A148" t="s">
        <v>53</v>
      </c>
      <c r="B148" t="s">
        <v>8</v>
      </c>
      <c r="C148" t="s">
        <v>297</v>
      </c>
      <c r="D148" t="s">
        <v>9</v>
      </c>
      <c r="E148" t="s">
        <v>10</v>
      </c>
      <c r="F148" t="s">
        <v>11</v>
      </c>
      <c r="G148">
        <v>2</v>
      </c>
      <c r="H148" t="s">
        <v>298</v>
      </c>
    </row>
    <row r="149" spans="1:8" x14ac:dyDescent="0.3">
      <c r="A149" t="s">
        <v>53</v>
      </c>
      <c r="B149" t="s">
        <v>8</v>
      </c>
      <c r="C149" t="s">
        <v>248</v>
      </c>
      <c r="D149" t="s">
        <v>14</v>
      </c>
      <c r="E149" t="s">
        <v>10</v>
      </c>
      <c r="F149" t="s">
        <v>13</v>
      </c>
      <c r="G149">
        <v>1</v>
      </c>
      <c r="H149" t="s">
        <v>299</v>
      </c>
    </row>
    <row r="150" spans="1:8" x14ac:dyDescent="0.3">
      <c r="A150" t="s">
        <v>30</v>
      </c>
      <c r="B150" t="s">
        <v>8</v>
      </c>
      <c r="C150" t="s">
        <v>158</v>
      </c>
      <c r="D150" t="s">
        <v>14</v>
      </c>
      <c r="E150" t="s">
        <v>10</v>
      </c>
      <c r="F150" t="s">
        <v>13</v>
      </c>
      <c r="G150">
        <v>2</v>
      </c>
      <c r="H150" t="s">
        <v>29</v>
      </c>
    </row>
    <row r="151" spans="1:8" x14ac:dyDescent="0.3">
      <c r="A151" t="s">
        <v>27</v>
      </c>
      <c r="B151" t="s">
        <v>8</v>
      </c>
      <c r="C151" t="s">
        <v>300</v>
      </c>
      <c r="D151" t="s">
        <v>14</v>
      </c>
      <c r="E151" t="s">
        <v>15</v>
      </c>
      <c r="F151" t="s">
        <v>13</v>
      </c>
      <c r="G151">
        <v>1</v>
      </c>
      <c r="H151" t="s">
        <v>301</v>
      </c>
    </row>
    <row r="152" spans="1:8" x14ac:dyDescent="0.3">
      <c r="A152" t="s">
        <v>27</v>
      </c>
      <c r="B152" t="s">
        <v>8</v>
      </c>
      <c r="C152" t="s">
        <v>302</v>
      </c>
      <c r="D152" t="s">
        <v>14</v>
      </c>
      <c r="E152" t="s">
        <v>15</v>
      </c>
      <c r="F152" t="s">
        <v>13</v>
      </c>
      <c r="G152">
        <v>3</v>
      </c>
      <c r="H152" t="s">
        <v>303</v>
      </c>
    </row>
    <row r="153" spans="1:8" x14ac:dyDescent="0.3">
      <c r="A153" t="s">
        <v>36</v>
      </c>
      <c r="B153" t="s">
        <v>8</v>
      </c>
      <c r="C153" t="s">
        <v>304</v>
      </c>
      <c r="D153" t="s">
        <v>14</v>
      </c>
      <c r="E153" t="s">
        <v>10</v>
      </c>
      <c r="F153" t="s">
        <v>13</v>
      </c>
      <c r="G153">
        <v>2</v>
      </c>
      <c r="H153" t="s">
        <v>305</v>
      </c>
    </row>
    <row r="154" spans="1:8" x14ac:dyDescent="0.3">
      <c r="A154" t="s">
        <v>27</v>
      </c>
      <c r="B154" t="s">
        <v>8</v>
      </c>
      <c r="C154" t="s">
        <v>306</v>
      </c>
      <c r="D154" t="s">
        <v>14</v>
      </c>
      <c r="E154" t="s">
        <v>10</v>
      </c>
      <c r="F154" t="s">
        <v>13</v>
      </c>
      <c r="G154">
        <v>1</v>
      </c>
      <c r="H154" t="s">
        <v>307</v>
      </c>
    </row>
    <row r="155" spans="1:8" x14ac:dyDescent="0.3">
      <c r="A155" t="s">
        <v>27</v>
      </c>
      <c r="B155" t="s">
        <v>8</v>
      </c>
      <c r="C155" t="s">
        <v>308</v>
      </c>
      <c r="D155" t="s">
        <v>12</v>
      </c>
      <c r="E155" t="s">
        <v>10</v>
      </c>
      <c r="F155" t="s">
        <v>13</v>
      </c>
      <c r="G155">
        <v>2</v>
      </c>
      <c r="H155" t="s">
        <v>309</v>
      </c>
    </row>
    <row r="156" spans="1:8" x14ac:dyDescent="0.3">
      <c r="A156" t="s">
        <v>33</v>
      </c>
      <c r="B156" t="s">
        <v>8</v>
      </c>
      <c r="C156" t="s">
        <v>310</v>
      </c>
      <c r="D156" t="s">
        <v>14</v>
      </c>
      <c r="E156" t="s">
        <v>10</v>
      </c>
      <c r="F156" t="s">
        <v>13</v>
      </c>
      <c r="G156">
        <v>2</v>
      </c>
      <c r="H156" t="s">
        <v>311</v>
      </c>
    </row>
    <row r="157" spans="1:8" x14ac:dyDescent="0.3">
      <c r="A157" t="s">
        <v>33</v>
      </c>
      <c r="B157" t="s">
        <v>8</v>
      </c>
      <c r="C157" t="s">
        <v>312</v>
      </c>
      <c r="D157" t="s">
        <v>14</v>
      </c>
      <c r="E157" t="s">
        <v>10</v>
      </c>
      <c r="F157" t="s">
        <v>13</v>
      </c>
      <c r="G157">
        <v>2</v>
      </c>
      <c r="H157" t="s">
        <v>261</v>
      </c>
    </row>
    <row r="158" spans="1:8" x14ac:dyDescent="0.3">
      <c r="A158" t="s">
        <v>53</v>
      </c>
      <c r="B158" t="s">
        <v>8</v>
      </c>
      <c r="C158" t="s">
        <v>313</v>
      </c>
      <c r="D158" t="s">
        <v>14</v>
      </c>
      <c r="E158" t="s">
        <v>15</v>
      </c>
      <c r="F158" t="s">
        <v>13</v>
      </c>
      <c r="G158">
        <v>3</v>
      </c>
      <c r="H158" t="s">
        <v>314</v>
      </c>
    </row>
    <row r="159" spans="1:8" x14ac:dyDescent="0.3">
      <c r="A159" t="s">
        <v>27</v>
      </c>
      <c r="B159" t="s">
        <v>8</v>
      </c>
      <c r="C159" t="s">
        <v>315</v>
      </c>
      <c r="D159" t="s">
        <v>14</v>
      </c>
      <c r="E159" t="s">
        <v>10</v>
      </c>
      <c r="F159" t="s">
        <v>13</v>
      </c>
      <c r="G159">
        <v>2</v>
      </c>
      <c r="H159" t="s">
        <v>316</v>
      </c>
    </row>
    <row r="160" spans="1:8" x14ac:dyDescent="0.3">
      <c r="A160" t="s">
        <v>112</v>
      </c>
      <c r="B160" t="s">
        <v>8</v>
      </c>
      <c r="C160" t="s">
        <v>317</v>
      </c>
      <c r="D160" t="s">
        <v>12</v>
      </c>
      <c r="E160" t="s">
        <v>10</v>
      </c>
      <c r="F160" t="s">
        <v>13</v>
      </c>
      <c r="G160">
        <v>1</v>
      </c>
      <c r="H160" t="s">
        <v>318</v>
      </c>
    </row>
    <row r="161" spans="1:8" x14ac:dyDescent="0.3">
      <c r="A161" t="s">
        <v>53</v>
      </c>
      <c r="B161" t="s">
        <v>8</v>
      </c>
      <c r="C161" t="s">
        <v>319</v>
      </c>
      <c r="D161" t="s">
        <v>12</v>
      </c>
      <c r="E161" t="s">
        <v>10</v>
      </c>
      <c r="F161" t="s">
        <v>13</v>
      </c>
      <c r="G161">
        <v>2</v>
      </c>
      <c r="H161" t="s">
        <v>320</v>
      </c>
    </row>
    <row r="162" spans="1:8" x14ac:dyDescent="0.3">
      <c r="A162" t="s">
        <v>112</v>
      </c>
      <c r="B162" t="s">
        <v>8</v>
      </c>
      <c r="C162" t="s">
        <v>321</v>
      </c>
      <c r="D162" t="s">
        <v>12</v>
      </c>
      <c r="E162" t="s">
        <v>10</v>
      </c>
      <c r="F162" t="s">
        <v>13</v>
      </c>
      <c r="G162">
        <v>1</v>
      </c>
      <c r="H162" t="s">
        <v>322</v>
      </c>
    </row>
    <row r="163" spans="1:8" x14ac:dyDescent="0.3">
      <c r="A163" t="s">
        <v>33</v>
      </c>
      <c r="B163" t="s">
        <v>8</v>
      </c>
      <c r="C163" t="s">
        <v>323</v>
      </c>
      <c r="D163" t="s">
        <v>14</v>
      </c>
      <c r="E163" t="s">
        <v>10</v>
      </c>
      <c r="F163" t="s">
        <v>13</v>
      </c>
      <c r="G163">
        <v>1</v>
      </c>
      <c r="H163" t="s">
        <v>324</v>
      </c>
    </row>
    <row r="164" spans="1:8" x14ac:dyDescent="0.3">
      <c r="A164" t="s">
        <v>27</v>
      </c>
      <c r="B164" t="s">
        <v>8</v>
      </c>
      <c r="C164" t="s">
        <v>325</v>
      </c>
      <c r="D164" t="s">
        <v>9</v>
      </c>
      <c r="E164" t="s">
        <v>10</v>
      </c>
      <c r="F164" t="s">
        <v>11</v>
      </c>
      <c r="G164">
        <v>1</v>
      </c>
      <c r="H164" t="s">
        <v>326</v>
      </c>
    </row>
    <row r="165" spans="1:8" x14ac:dyDescent="0.3">
      <c r="A165" t="s">
        <v>33</v>
      </c>
      <c r="B165" t="s">
        <v>8</v>
      </c>
      <c r="C165" t="s">
        <v>327</v>
      </c>
      <c r="D165" t="s">
        <v>14</v>
      </c>
      <c r="E165" t="s">
        <v>10</v>
      </c>
      <c r="F165" t="s">
        <v>13</v>
      </c>
      <c r="G165">
        <v>2</v>
      </c>
      <c r="H165" t="s">
        <v>328</v>
      </c>
    </row>
    <row r="166" spans="1:8" x14ac:dyDescent="0.3">
      <c r="A166" t="s">
        <v>27</v>
      </c>
      <c r="B166" t="s">
        <v>8</v>
      </c>
      <c r="C166" t="s">
        <v>329</v>
      </c>
      <c r="D166" t="s">
        <v>12</v>
      </c>
      <c r="E166" t="s">
        <v>10</v>
      </c>
      <c r="F166" t="s">
        <v>13</v>
      </c>
      <c r="G166">
        <v>1</v>
      </c>
      <c r="H166" t="s">
        <v>330</v>
      </c>
    </row>
    <row r="167" spans="1:8" x14ac:dyDescent="0.3">
      <c r="A167" t="s">
        <v>58</v>
      </c>
      <c r="B167" t="s">
        <v>8</v>
      </c>
      <c r="C167" t="s">
        <v>331</v>
      </c>
      <c r="D167" t="s">
        <v>12</v>
      </c>
      <c r="E167" t="s">
        <v>10</v>
      </c>
      <c r="F167" t="s">
        <v>13</v>
      </c>
      <c r="G167">
        <v>1</v>
      </c>
      <c r="H167" t="s">
        <v>332</v>
      </c>
    </row>
    <row r="168" spans="1:8" x14ac:dyDescent="0.3">
      <c r="A168" t="s">
        <v>53</v>
      </c>
      <c r="B168" t="s">
        <v>8</v>
      </c>
      <c r="C168" t="s">
        <v>333</v>
      </c>
      <c r="D168" t="s">
        <v>9</v>
      </c>
      <c r="E168" t="s">
        <v>10</v>
      </c>
      <c r="F168" t="s">
        <v>11</v>
      </c>
      <c r="G168">
        <v>2</v>
      </c>
      <c r="H168" t="s">
        <v>334</v>
      </c>
    </row>
    <row r="169" spans="1:8" x14ac:dyDescent="0.3">
      <c r="A169" t="s">
        <v>33</v>
      </c>
      <c r="B169" t="s">
        <v>8</v>
      </c>
      <c r="C169" t="s">
        <v>108</v>
      </c>
      <c r="D169" t="s">
        <v>9</v>
      </c>
      <c r="E169" t="s">
        <v>10</v>
      </c>
      <c r="F169" t="s">
        <v>11</v>
      </c>
      <c r="G169">
        <v>4</v>
      </c>
      <c r="H169" t="s">
        <v>335</v>
      </c>
    </row>
    <row r="170" spans="1:8" x14ac:dyDescent="0.3">
      <c r="A170" t="s">
        <v>30</v>
      </c>
      <c r="B170" t="s">
        <v>8</v>
      </c>
      <c r="C170" t="s">
        <v>336</v>
      </c>
      <c r="D170" t="s">
        <v>9</v>
      </c>
      <c r="E170" t="s">
        <v>10</v>
      </c>
      <c r="F170" t="s">
        <v>11</v>
      </c>
      <c r="G170">
        <v>1</v>
      </c>
      <c r="H170" t="s">
        <v>29</v>
      </c>
    </row>
    <row r="171" spans="1:8" x14ac:dyDescent="0.3">
      <c r="A171" t="s">
        <v>30</v>
      </c>
      <c r="B171" t="s">
        <v>8</v>
      </c>
      <c r="C171" t="s">
        <v>337</v>
      </c>
      <c r="D171" t="s">
        <v>12</v>
      </c>
      <c r="E171" t="s">
        <v>10</v>
      </c>
      <c r="F171" t="s">
        <v>13</v>
      </c>
      <c r="G171">
        <v>2</v>
      </c>
      <c r="H171" t="s">
        <v>338</v>
      </c>
    </row>
    <row r="172" spans="1:8" x14ac:dyDescent="0.3">
      <c r="A172" t="s">
        <v>273</v>
      </c>
      <c r="B172" t="s">
        <v>8</v>
      </c>
      <c r="C172" t="s">
        <v>339</v>
      </c>
      <c r="D172" t="s">
        <v>17</v>
      </c>
      <c r="E172" t="s">
        <v>15</v>
      </c>
      <c r="F172" t="s">
        <v>13</v>
      </c>
      <c r="G172">
        <v>1</v>
      </c>
      <c r="H172" t="s">
        <v>340</v>
      </c>
    </row>
    <row r="173" spans="1:8" x14ac:dyDescent="0.3">
      <c r="A173" t="s">
        <v>36</v>
      </c>
      <c r="B173" t="s">
        <v>8</v>
      </c>
      <c r="C173" t="s">
        <v>341</v>
      </c>
      <c r="D173" t="s">
        <v>14</v>
      </c>
      <c r="E173" t="s">
        <v>10</v>
      </c>
      <c r="F173" t="s">
        <v>13</v>
      </c>
      <c r="G173">
        <v>1</v>
      </c>
      <c r="H173" t="s">
        <v>342</v>
      </c>
    </row>
    <row r="174" spans="1:8" x14ac:dyDescent="0.3">
      <c r="A174" t="s">
        <v>58</v>
      </c>
      <c r="B174" t="s">
        <v>8</v>
      </c>
      <c r="C174" t="s">
        <v>343</v>
      </c>
      <c r="D174" t="s">
        <v>12</v>
      </c>
      <c r="E174" t="s">
        <v>10</v>
      </c>
      <c r="F174" t="s">
        <v>13</v>
      </c>
      <c r="G174">
        <v>1</v>
      </c>
      <c r="H174" t="s">
        <v>344</v>
      </c>
    </row>
    <row r="175" spans="1:8" x14ac:dyDescent="0.3">
      <c r="A175" t="s">
        <v>27</v>
      </c>
      <c r="B175" t="s">
        <v>8</v>
      </c>
      <c r="C175" t="s">
        <v>345</v>
      </c>
      <c r="D175" t="s">
        <v>14</v>
      </c>
      <c r="E175" t="s">
        <v>10</v>
      </c>
      <c r="F175" t="s">
        <v>13</v>
      </c>
      <c r="G175">
        <v>3</v>
      </c>
      <c r="H175" t="s">
        <v>346</v>
      </c>
    </row>
    <row r="176" spans="1:8" x14ac:dyDescent="0.3">
      <c r="A176" t="s">
        <v>33</v>
      </c>
      <c r="B176" t="s">
        <v>8</v>
      </c>
      <c r="C176" t="s">
        <v>347</v>
      </c>
      <c r="D176" t="s">
        <v>9</v>
      </c>
      <c r="E176" t="s">
        <v>10</v>
      </c>
      <c r="F176" t="s">
        <v>11</v>
      </c>
      <c r="G176">
        <v>2</v>
      </c>
      <c r="H176" t="s">
        <v>348</v>
      </c>
    </row>
    <row r="177" spans="1:8" x14ac:dyDescent="0.3">
      <c r="A177" t="s">
        <v>30</v>
      </c>
      <c r="B177" t="s">
        <v>8</v>
      </c>
      <c r="C177" t="s">
        <v>349</v>
      </c>
      <c r="D177" t="s">
        <v>12</v>
      </c>
      <c r="E177" t="s">
        <v>10</v>
      </c>
      <c r="F177" t="s">
        <v>13</v>
      </c>
      <c r="G177">
        <v>2</v>
      </c>
      <c r="H177" t="s">
        <v>116</v>
      </c>
    </row>
    <row r="178" spans="1:8" x14ac:dyDescent="0.3">
      <c r="A178" t="s">
        <v>33</v>
      </c>
      <c r="B178" t="s">
        <v>8</v>
      </c>
      <c r="C178" t="s">
        <v>350</v>
      </c>
      <c r="D178" t="s">
        <v>12</v>
      </c>
      <c r="E178" t="s">
        <v>15</v>
      </c>
      <c r="F178" t="s">
        <v>13</v>
      </c>
      <c r="G178">
        <v>1</v>
      </c>
      <c r="H178" t="s">
        <v>351</v>
      </c>
    </row>
    <row r="179" spans="1:8" x14ac:dyDescent="0.3">
      <c r="A179" t="s">
        <v>30</v>
      </c>
      <c r="B179" t="s">
        <v>8</v>
      </c>
      <c r="C179" t="s">
        <v>352</v>
      </c>
      <c r="D179" t="s">
        <v>12</v>
      </c>
      <c r="E179" t="s">
        <v>10</v>
      </c>
      <c r="F179" t="s">
        <v>13</v>
      </c>
      <c r="G179">
        <v>1</v>
      </c>
      <c r="H179" t="s">
        <v>353</v>
      </c>
    </row>
    <row r="180" spans="1:8" x14ac:dyDescent="0.3">
      <c r="A180" t="s">
        <v>36</v>
      </c>
      <c r="B180" t="s">
        <v>8</v>
      </c>
      <c r="C180" t="s">
        <v>235</v>
      </c>
      <c r="D180" t="s">
        <v>9</v>
      </c>
      <c r="E180" t="s">
        <v>10</v>
      </c>
      <c r="F180" t="s">
        <v>11</v>
      </c>
      <c r="G180">
        <v>2</v>
      </c>
      <c r="H180" t="s">
        <v>354</v>
      </c>
    </row>
    <row r="181" spans="1:8" x14ac:dyDescent="0.3">
      <c r="A181" t="s">
        <v>30</v>
      </c>
      <c r="B181" t="s">
        <v>8</v>
      </c>
      <c r="C181" t="s">
        <v>355</v>
      </c>
      <c r="D181" t="s">
        <v>14</v>
      </c>
      <c r="E181" t="s">
        <v>10</v>
      </c>
      <c r="F181" t="s">
        <v>13</v>
      </c>
      <c r="G181">
        <v>2</v>
      </c>
      <c r="H181" t="s">
        <v>242</v>
      </c>
    </row>
    <row r="182" spans="1:8" x14ac:dyDescent="0.3">
      <c r="A182" t="s">
        <v>27</v>
      </c>
      <c r="B182" t="s">
        <v>8</v>
      </c>
      <c r="C182" t="s">
        <v>356</v>
      </c>
      <c r="D182" t="s">
        <v>14</v>
      </c>
      <c r="E182" t="s">
        <v>10</v>
      </c>
      <c r="F182" t="s">
        <v>13</v>
      </c>
      <c r="G182">
        <v>2</v>
      </c>
      <c r="H182" t="s">
        <v>357</v>
      </c>
    </row>
    <row r="183" spans="1:8" x14ac:dyDescent="0.3">
      <c r="A183" t="s">
        <v>33</v>
      </c>
      <c r="B183" t="s">
        <v>8</v>
      </c>
      <c r="C183" t="s">
        <v>54</v>
      </c>
      <c r="D183" t="s">
        <v>14</v>
      </c>
      <c r="E183" t="s">
        <v>15</v>
      </c>
      <c r="F183" t="s">
        <v>13</v>
      </c>
      <c r="G183">
        <v>2</v>
      </c>
      <c r="H183" t="s">
        <v>358</v>
      </c>
    </row>
    <row r="184" spans="1:8" x14ac:dyDescent="0.3">
      <c r="A184" t="s">
        <v>27</v>
      </c>
      <c r="B184" t="s">
        <v>8</v>
      </c>
      <c r="C184" t="s">
        <v>188</v>
      </c>
      <c r="D184" t="s">
        <v>14</v>
      </c>
      <c r="E184" t="s">
        <v>10</v>
      </c>
      <c r="F184" t="s">
        <v>13</v>
      </c>
      <c r="G184">
        <v>2</v>
      </c>
      <c r="H184" t="s">
        <v>29</v>
      </c>
    </row>
    <row r="185" spans="1:8" x14ac:dyDescent="0.3">
      <c r="A185" t="s">
        <v>33</v>
      </c>
      <c r="B185" t="s">
        <v>8</v>
      </c>
      <c r="C185" t="s">
        <v>359</v>
      </c>
      <c r="D185" t="s">
        <v>9</v>
      </c>
      <c r="E185" t="s">
        <v>10</v>
      </c>
      <c r="F185" t="s">
        <v>11</v>
      </c>
      <c r="G185">
        <v>3</v>
      </c>
      <c r="H185" t="s">
        <v>360</v>
      </c>
    </row>
    <row r="186" spans="1:8" x14ac:dyDescent="0.3">
      <c r="A186" t="s">
        <v>33</v>
      </c>
      <c r="B186" t="s">
        <v>8</v>
      </c>
      <c r="C186" t="s">
        <v>361</v>
      </c>
      <c r="D186" t="s">
        <v>9</v>
      </c>
      <c r="E186" t="s">
        <v>10</v>
      </c>
      <c r="F186" t="s">
        <v>11</v>
      </c>
      <c r="G186">
        <v>2</v>
      </c>
      <c r="H186" t="s">
        <v>362</v>
      </c>
    </row>
    <row r="187" spans="1:8" x14ac:dyDescent="0.3">
      <c r="A187" t="s">
        <v>33</v>
      </c>
      <c r="B187" t="s">
        <v>8</v>
      </c>
      <c r="C187" t="s">
        <v>363</v>
      </c>
      <c r="D187" t="s">
        <v>9</v>
      </c>
      <c r="E187" t="s">
        <v>10</v>
      </c>
      <c r="F187" t="s">
        <v>11</v>
      </c>
      <c r="G187">
        <v>1</v>
      </c>
      <c r="H187" t="s">
        <v>364</v>
      </c>
    </row>
    <row r="188" spans="1:8" x14ac:dyDescent="0.3">
      <c r="A188" t="s">
        <v>53</v>
      </c>
      <c r="B188" t="s">
        <v>8</v>
      </c>
      <c r="C188" t="s">
        <v>365</v>
      </c>
      <c r="D188" t="s">
        <v>9</v>
      </c>
      <c r="E188" t="s">
        <v>15</v>
      </c>
      <c r="F188" t="s">
        <v>11</v>
      </c>
      <c r="G188">
        <v>1</v>
      </c>
      <c r="H188" t="s">
        <v>366</v>
      </c>
    </row>
    <row r="189" spans="1:8" x14ac:dyDescent="0.3">
      <c r="A189" t="s">
        <v>36</v>
      </c>
      <c r="B189" t="s">
        <v>8</v>
      </c>
      <c r="C189" t="s">
        <v>367</v>
      </c>
      <c r="D189" t="s">
        <v>9</v>
      </c>
      <c r="E189" t="s">
        <v>10</v>
      </c>
      <c r="F189" t="s">
        <v>11</v>
      </c>
      <c r="G189">
        <v>3</v>
      </c>
      <c r="H189" t="s">
        <v>368</v>
      </c>
    </row>
    <row r="190" spans="1:8" x14ac:dyDescent="0.3">
      <c r="A190" t="s">
        <v>112</v>
      </c>
      <c r="B190" t="s">
        <v>8</v>
      </c>
      <c r="C190" t="s">
        <v>369</v>
      </c>
      <c r="D190" t="s">
        <v>12</v>
      </c>
      <c r="E190" t="s">
        <v>10</v>
      </c>
      <c r="F190" t="s">
        <v>13</v>
      </c>
      <c r="G190">
        <v>1</v>
      </c>
      <c r="H190" t="s">
        <v>170</v>
      </c>
    </row>
    <row r="191" spans="1:8" x14ac:dyDescent="0.3">
      <c r="A191" t="s">
        <v>33</v>
      </c>
      <c r="B191" t="s">
        <v>8</v>
      </c>
      <c r="C191" t="s">
        <v>370</v>
      </c>
      <c r="D191" t="s">
        <v>12</v>
      </c>
      <c r="E191" t="s">
        <v>10</v>
      </c>
      <c r="F191" t="s">
        <v>13</v>
      </c>
      <c r="G191">
        <v>2</v>
      </c>
      <c r="H191" t="s">
        <v>371</v>
      </c>
    </row>
    <row r="192" spans="1:8" x14ac:dyDescent="0.3">
      <c r="A192" t="s">
        <v>372</v>
      </c>
      <c r="B192" t="s">
        <v>8</v>
      </c>
      <c r="C192" t="s">
        <v>373</v>
      </c>
      <c r="D192" t="s">
        <v>12</v>
      </c>
      <c r="E192" t="s">
        <v>10</v>
      </c>
      <c r="F192" t="s">
        <v>13</v>
      </c>
      <c r="G192">
        <v>1</v>
      </c>
      <c r="H192" t="s">
        <v>374</v>
      </c>
    </row>
    <row r="193" spans="1:8" x14ac:dyDescent="0.3">
      <c r="A193" t="s">
        <v>36</v>
      </c>
      <c r="B193" t="s">
        <v>8</v>
      </c>
      <c r="C193" t="s">
        <v>375</v>
      </c>
      <c r="D193" t="s">
        <v>14</v>
      </c>
      <c r="E193" t="s">
        <v>10</v>
      </c>
      <c r="F193" t="s">
        <v>13</v>
      </c>
      <c r="G193">
        <v>4</v>
      </c>
      <c r="H193" t="s">
        <v>376</v>
      </c>
    </row>
    <row r="194" spans="1:8" x14ac:dyDescent="0.3">
      <c r="A194" t="s">
        <v>27</v>
      </c>
      <c r="B194" t="s">
        <v>8</v>
      </c>
      <c r="C194" t="s">
        <v>377</v>
      </c>
      <c r="D194" t="s">
        <v>12</v>
      </c>
      <c r="E194" t="s">
        <v>10</v>
      </c>
      <c r="F194" t="s">
        <v>13</v>
      </c>
      <c r="G194">
        <v>1</v>
      </c>
      <c r="H194" t="s">
        <v>378</v>
      </c>
    </row>
    <row r="195" spans="1:8" x14ac:dyDescent="0.3">
      <c r="A195" t="s">
        <v>30</v>
      </c>
      <c r="B195" t="s">
        <v>8</v>
      </c>
      <c r="C195" t="s">
        <v>103</v>
      </c>
      <c r="D195" t="s">
        <v>14</v>
      </c>
      <c r="E195" t="s">
        <v>15</v>
      </c>
      <c r="F195" t="s">
        <v>13</v>
      </c>
      <c r="G195">
        <v>2</v>
      </c>
      <c r="H195" t="s">
        <v>316</v>
      </c>
    </row>
    <row r="196" spans="1:8" x14ac:dyDescent="0.3">
      <c r="A196" t="s">
        <v>33</v>
      </c>
      <c r="B196" t="s">
        <v>8</v>
      </c>
      <c r="C196" t="s">
        <v>379</v>
      </c>
      <c r="D196" t="s">
        <v>12</v>
      </c>
      <c r="E196" t="s">
        <v>10</v>
      </c>
      <c r="F196" t="s">
        <v>13</v>
      </c>
      <c r="G196">
        <v>2</v>
      </c>
      <c r="H196" t="s">
        <v>380</v>
      </c>
    </row>
    <row r="197" spans="1:8" x14ac:dyDescent="0.3">
      <c r="A197" t="s">
        <v>53</v>
      </c>
      <c r="B197" t="s">
        <v>8</v>
      </c>
      <c r="C197" t="s">
        <v>381</v>
      </c>
      <c r="D197" t="s">
        <v>14</v>
      </c>
      <c r="E197" t="s">
        <v>10</v>
      </c>
      <c r="F197" t="s">
        <v>13</v>
      </c>
      <c r="G197">
        <v>1</v>
      </c>
      <c r="H197" t="s">
        <v>382</v>
      </c>
    </row>
    <row r="198" spans="1:8" x14ac:dyDescent="0.3">
      <c r="A198" t="s">
        <v>33</v>
      </c>
      <c r="B198" t="s">
        <v>8</v>
      </c>
      <c r="C198" t="s">
        <v>383</v>
      </c>
      <c r="D198" t="s">
        <v>18</v>
      </c>
      <c r="E198" t="s">
        <v>10</v>
      </c>
      <c r="F198" t="s">
        <v>11</v>
      </c>
      <c r="G198">
        <v>3</v>
      </c>
      <c r="H198" t="s">
        <v>384</v>
      </c>
    </row>
    <row r="199" spans="1:8" x14ac:dyDescent="0.3">
      <c r="A199" t="s">
        <v>27</v>
      </c>
      <c r="B199" t="s">
        <v>8</v>
      </c>
      <c r="C199" t="s">
        <v>385</v>
      </c>
      <c r="D199" t="s">
        <v>12</v>
      </c>
      <c r="E199" t="s">
        <v>10</v>
      </c>
      <c r="F199" t="s">
        <v>13</v>
      </c>
      <c r="G199">
        <v>2</v>
      </c>
      <c r="H199" t="s">
        <v>386</v>
      </c>
    </row>
    <row r="200" spans="1:8" x14ac:dyDescent="0.3">
      <c r="A200" t="s">
        <v>53</v>
      </c>
      <c r="B200" t="s">
        <v>8</v>
      </c>
      <c r="C200" t="s">
        <v>270</v>
      </c>
      <c r="D200" t="s">
        <v>9</v>
      </c>
      <c r="E200" t="s">
        <v>10</v>
      </c>
      <c r="F200" t="s">
        <v>11</v>
      </c>
      <c r="G200">
        <v>2</v>
      </c>
      <c r="H200" t="s">
        <v>324</v>
      </c>
    </row>
    <row r="201" spans="1:8" x14ac:dyDescent="0.3">
      <c r="A201" t="s">
        <v>58</v>
      </c>
      <c r="B201" t="s">
        <v>8</v>
      </c>
      <c r="C201" t="s">
        <v>387</v>
      </c>
      <c r="D201" t="s">
        <v>12</v>
      </c>
      <c r="E201" t="s">
        <v>10</v>
      </c>
      <c r="F201" t="s">
        <v>13</v>
      </c>
      <c r="G201">
        <v>1</v>
      </c>
      <c r="H201" t="s">
        <v>388</v>
      </c>
    </row>
    <row r="202" spans="1:8" x14ac:dyDescent="0.3">
      <c r="A202" t="s">
        <v>53</v>
      </c>
      <c r="B202" t="s">
        <v>8</v>
      </c>
      <c r="C202" t="s">
        <v>389</v>
      </c>
      <c r="D202" t="s">
        <v>14</v>
      </c>
      <c r="E202" t="s">
        <v>10</v>
      </c>
      <c r="F202" t="s">
        <v>13</v>
      </c>
      <c r="G202">
        <v>1</v>
      </c>
      <c r="H202" t="s">
        <v>256</v>
      </c>
    </row>
    <row r="203" spans="1:8" x14ac:dyDescent="0.3">
      <c r="A203" t="s">
        <v>53</v>
      </c>
      <c r="B203" t="s">
        <v>8</v>
      </c>
      <c r="C203" t="s">
        <v>390</v>
      </c>
      <c r="D203" t="s">
        <v>14</v>
      </c>
      <c r="E203" t="s">
        <v>10</v>
      </c>
      <c r="F203" t="s">
        <v>13</v>
      </c>
      <c r="G203">
        <v>2</v>
      </c>
      <c r="H203" t="s">
        <v>145</v>
      </c>
    </row>
    <row r="204" spans="1:8" x14ac:dyDescent="0.3">
      <c r="A204" t="s">
        <v>33</v>
      </c>
      <c r="B204" t="s">
        <v>8</v>
      </c>
      <c r="C204" t="s">
        <v>54</v>
      </c>
      <c r="D204" t="s">
        <v>14</v>
      </c>
      <c r="E204" t="s">
        <v>10</v>
      </c>
      <c r="F204" t="s">
        <v>13</v>
      </c>
      <c r="G204">
        <v>2</v>
      </c>
      <c r="H204" t="s">
        <v>338</v>
      </c>
    </row>
    <row r="205" spans="1:8" x14ac:dyDescent="0.3">
      <c r="A205" t="s">
        <v>36</v>
      </c>
      <c r="B205" t="s">
        <v>8</v>
      </c>
      <c r="C205" t="s">
        <v>391</v>
      </c>
      <c r="D205" t="s">
        <v>18</v>
      </c>
      <c r="E205" t="s">
        <v>10</v>
      </c>
      <c r="F205" t="s">
        <v>11</v>
      </c>
      <c r="G205">
        <v>2</v>
      </c>
      <c r="H205" t="s">
        <v>191</v>
      </c>
    </row>
    <row r="206" spans="1:8" x14ac:dyDescent="0.3">
      <c r="A206" t="s">
        <v>36</v>
      </c>
      <c r="B206" t="s">
        <v>8</v>
      </c>
      <c r="C206" t="s">
        <v>392</v>
      </c>
      <c r="D206" t="s">
        <v>9</v>
      </c>
      <c r="E206" t="s">
        <v>10</v>
      </c>
      <c r="F206" t="s">
        <v>11</v>
      </c>
      <c r="G206">
        <v>4</v>
      </c>
      <c r="H206" t="s">
        <v>393</v>
      </c>
    </row>
    <row r="207" spans="1:8" x14ac:dyDescent="0.3">
      <c r="A207" t="s">
        <v>33</v>
      </c>
      <c r="B207" t="s">
        <v>8</v>
      </c>
      <c r="C207" t="s">
        <v>394</v>
      </c>
      <c r="D207" t="s">
        <v>9</v>
      </c>
      <c r="E207" t="s">
        <v>10</v>
      </c>
      <c r="F207" t="s">
        <v>11</v>
      </c>
      <c r="G207">
        <v>4</v>
      </c>
      <c r="H207" t="s">
        <v>395</v>
      </c>
    </row>
    <row r="208" spans="1:8" x14ac:dyDescent="0.3">
      <c r="A208" t="s">
        <v>372</v>
      </c>
      <c r="B208" t="s">
        <v>8</v>
      </c>
      <c r="C208" t="s">
        <v>396</v>
      </c>
      <c r="D208" t="s">
        <v>12</v>
      </c>
      <c r="E208" t="s">
        <v>10</v>
      </c>
      <c r="F208" t="s">
        <v>13</v>
      </c>
      <c r="G208">
        <v>1</v>
      </c>
      <c r="H208" t="s">
        <v>397</v>
      </c>
    </row>
    <row r="209" spans="1:8" x14ac:dyDescent="0.3">
      <c r="A209" t="s">
        <v>112</v>
      </c>
      <c r="B209" t="s">
        <v>8</v>
      </c>
      <c r="C209" t="s">
        <v>398</v>
      </c>
      <c r="D209" t="s">
        <v>17</v>
      </c>
      <c r="E209" t="s">
        <v>15</v>
      </c>
      <c r="F209" t="s">
        <v>13</v>
      </c>
      <c r="G209">
        <v>2</v>
      </c>
      <c r="H209" t="s">
        <v>399</v>
      </c>
    </row>
    <row r="210" spans="1:8" x14ac:dyDescent="0.3">
      <c r="A210" t="s">
        <v>30</v>
      </c>
      <c r="B210" t="s">
        <v>8</v>
      </c>
      <c r="C210" t="s">
        <v>400</v>
      </c>
      <c r="D210" t="s">
        <v>9</v>
      </c>
      <c r="E210" t="s">
        <v>10</v>
      </c>
      <c r="F210" t="s">
        <v>11</v>
      </c>
      <c r="G210">
        <v>2</v>
      </c>
      <c r="H210" t="s">
        <v>256</v>
      </c>
    </row>
    <row r="211" spans="1:8" x14ac:dyDescent="0.3">
      <c r="A211" t="s">
        <v>58</v>
      </c>
      <c r="B211" t="s">
        <v>8</v>
      </c>
      <c r="C211" t="s">
        <v>401</v>
      </c>
      <c r="D211" t="s">
        <v>12</v>
      </c>
      <c r="E211" t="s">
        <v>10</v>
      </c>
      <c r="F211" t="s">
        <v>13</v>
      </c>
      <c r="G211">
        <v>2</v>
      </c>
      <c r="H211" t="s">
        <v>402</v>
      </c>
    </row>
    <row r="212" spans="1:8" x14ac:dyDescent="0.3">
      <c r="A212" t="s">
        <v>36</v>
      </c>
      <c r="B212" t="s">
        <v>8</v>
      </c>
      <c r="C212" t="s">
        <v>403</v>
      </c>
      <c r="D212" t="s">
        <v>9</v>
      </c>
      <c r="E212" t="s">
        <v>10</v>
      </c>
      <c r="F212" t="s">
        <v>11</v>
      </c>
      <c r="G212">
        <v>4</v>
      </c>
      <c r="H212" t="s">
        <v>404</v>
      </c>
    </row>
    <row r="213" spans="1:8" x14ac:dyDescent="0.3">
      <c r="A213" t="s">
        <v>33</v>
      </c>
      <c r="B213" t="s">
        <v>8</v>
      </c>
      <c r="C213" t="s">
        <v>405</v>
      </c>
      <c r="D213" t="s">
        <v>9</v>
      </c>
      <c r="E213" t="s">
        <v>15</v>
      </c>
      <c r="F213" t="s">
        <v>11</v>
      </c>
      <c r="G213">
        <v>2</v>
      </c>
      <c r="H213" t="s">
        <v>406</v>
      </c>
    </row>
    <row r="214" spans="1:8" x14ac:dyDescent="0.3">
      <c r="A214" t="s">
        <v>58</v>
      </c>
      <c r="B214" t="s">
        <v>8</v>
      </c>
      <c r="C214" t="s">
        <v>407</v>
      </c>
      <c r="D214" t="s">
        <v>12</v>
      </c>
      <c r="E214" t="s">
        <v>10</v>
      </c>
      <c r="F214" t="s">
        <v>13</v>
      </c>
      <c r="G214">
        <v>1</v>
      </c>
      <c r="H214" t="s">
        <v>114</v>
      </c>
    </row>
    <row r="215" spans="1:8" x14ac:dyDescent="0.3">
      <c r="A215" t="s">
        <v>33</v>
      </c>
      <c r="B215" t="s">
        <v>8</v>
      </c>
      <c r="C215" t="s">
        <v>408</v>
      </c>
      <c r="D215" t="s">
        <v>9</v>
      </c>
      <c r="E215" t="s">
        <v>10</v>
      </c>
      <c r="F215" t="s">
        <v>11</v>
      </c>
      <c r="G215">
        <v>1</v>
      </c>
      <c r="H215" t="s">
        <v>409</v>
      </c>
    </row>
    <row r="216" spans="1:8" x14ac:dyDescent="0.3">
      <c r="A216" t="s">
        <v>58</v>
      </c>
      <c r="B216" t="s">
        <v>8</v>
      </c>
      <c r="C216" t="s">
        <v>410</v>
      </c>
      <c r="D216" t="s">
        <v>12</v>
      </c>
      <c r="E216" t="s">
        <v>10</v>
      </c>
      <c r="F216" t="s">
        <v>13</v>
      </c>
      <c r="G216">
        <v>1</v>
      </c>
      <c r="H216" t="s">
        <v>411</v>
      </c>
    </row>
    <row r="217" spans="1:8" x14ac:dyDescent="0.3">
      <c r="A217" t="s">
        <v>53</v>
      </c>
      <c r="B217" t="s">
        <v>8</v>
      </c>
      <c r="C217" t="s">
        <v>54</v>
      </c>
      <c r="D217" t="s">
        <v>9</v>
      </c>
      <c r="E217" t="s">
        <v>10</v>
      </c>
      <c r="F217" t="s">
        <v>11</v>
      </c>
      <c r="G217">
        <v>3</v>
      </c>
      <c r="H217" t="s">
        <v>412</v>
      </c>
    </row>
    <row r="218" spans="1:8" x14ac:dyDescent="0.3">
      <c r="A218" t="s">
        <v>112</v>
      </c>
      <c r="B218" t="s">
        <v>8</v>
      </c>
      <c r="C218" t="s">
        <v>413</v>
      </c>
      <c r="D218" t="s">
        <v>12</v>
      </c>
      <c r="E218" t="s">
        <v>15</v>
      </c>
      <c r="F218" t="s">
        <v>13</v>
      </c>
      <c r="G218">
        <v>2</v>
      </c>
      <c r="H218" t="s">
        <v>414</v>
      </c>
    </row>
    <row r="219" spans="1:8" x14ac:dyDescent="0.3">
      <c r="A219" t="s">
        <v>33</v>
      </c>
      <c r="B219" t="s">
        <v>8</v>
      </c>
      <c r="C219" t="s">
        <v>415</v>
      </c>
      <c r="D219" t="s">
        <v>14</v>
      </c>
      <c r="E219" t="s">
        <v>10</v>
      </c>
      <c r="F219" t="s">
        <v>13</v>
      </c>
      <c r="G219">
        <v>1</v>
      </c>
      <c r="H219" t="s">
        <v>338</v>
      </c>
    </row>
    <row r="220" spans="1:8" x14ac:dyDescent="0.3">
      <c r="A220" t="s">
        <v>372</v>
      </c>
      <c r="B220" t="s">
        <v>8</v>
      </c>
      <c r="C220" t="s">
        <v>416</v>
      </c>
      <c r="D220" t="s">
        <v>12</v>
      </c>
      <c r="E220" t="s">
        <v>10</v>
      </c>
      <c r="F220" t="s">
        <v>13</v>
      </c>
      <c r="G220">
        <v>2</v>
      </c>
      <c r="H220" t="s">
        <v>417</v>
      </c>
    </row>
    <row r="221" spans="1:8" x14ac:dyDescent="0.3">
      <c r="A221" t="s">
        <v>33</v>
      </c>
      <c r="B221" t="s">
        <v>8</v>
      </c>
      <c r="C221" t="s">
        <v>418</v>
      </c>
      <c r="D221" t="s">
        <v>14</v>
      </c>
      <c r="E221" t="s">
        <v>10</v>
      </c>
      <c r="F221" t="s">
        <v>13</v>
      </c>
      <c r="G221">
        <v>2</v>
      </c>
      <c r="H221" t="s">
        <v>419</v>
      </c>
    </row>
    <row r="222" spans="1:8" x14ac:dyDescent="0.3">
      <c r="A222" t="s">
        <v>58</v>
      </c>
      <c r="B222" t="s">
        <v>8</v>
      </c>
      <c r="C222" t="s">
        <v>420</v>
      </c>
      <c r="D222" t="s">
        <v>12</v>
      </c>
      <c r="E222" t="s">
        <v>10</v>
      </c>
      <c r="F222" t="s">
        <v>13</v>
      </c>
      <c r="G222">
        <v>1</v>
      </c>
      <c r="H222" t="s">
        <v>421</v>
      </c>
    </row>
    <row r="223" spans="1:8" x14ac:dyDescent="0.3">
      <c r="A223" t="s">
        <v>112</v>
      </c>
      <c r="B223" t="s">
        <v>8</v>
      </c>
      <c r="C223" t="s">
        <v>422</v>
      </c>
      <c r="D223" t="s">
        <v>12</v>
      </c>
      <c r="E223" t="s">
        <v>10</v>
      </c>
      <c r="F223" t="s">
        <v>13</v>
      </c>
      <c r="G223">
        <v>2</v>
      </c>
      <c r="H223" t="s">
        <v>423</v>
      </c>
    </row>
    <row r="224" spans="1:8" x14ac:dyDescent="0.3">
      <c r="A224" t="s">
        <v>372</v>
      </c>
      <c r="B224" t="s">
        <v>8</v>
      </c>
      <c r="C224" t="s">
        <v>424</v>
      </c>
      <c r="D224" t="s">
        <v>17</v>
      </c>
      <c r="E224" t="s">
        <v>15</v>
      </c>
      <c r="F224" t="s">
        <v>13</v>
      </c>
      <c r="G224">
        <v>1</v>
      </c>
      <c r="H224" t="s">
        <v>425</v>
      </c>
    </row>
    <row r="225" spans="1:8" x14ac:dyDescent="0.3">
      <c r="A225" t="s">
        <v>36</v>
      </c>
      <c r="B225" t="s">
        <v>8</v>
      </c>
      <c r="C225" t="s">
        <v>426</v>
      </c>
      <c r="D225" t="s">
        <v>14</v>
      </c>
      <c r="E225" t="s">
        <v>15</v>
      </c>
      <c r="F225" t="s">
        <v>13</v>
      </c>
      <c r="G225">
        <v>1</v>
      </c>
      <c r="H225" t="s">
        <v>346</v>
      </c>
    </row>
    <row r="226" spans="1:8" x14ac:dyDescent="0.3">
      <c r="A226" t="s">
        <v>53</v>
      </c>
      <c r="B226" t="s">
        <v>8</v>
      </c>
      <c r="C226" t="s">
        <v>427</v>
      </c>
      <c r="D226" t="s">
        <v>14</v>
      </c>
      <c r="E226" t="s">
        <v>15</v>
      </c>
      <c r="F226" t="s">
        <v>13</v>
      </c>
      <c r="G226">
        <v>5</v>
      </c>
      <c r="H226" t="s">
        <v>366</v>
      </c>
    </row>
    <row r="227" spans="1:8" x14ac:dyDescent="0.3">
      <c r="A227" t="s">
        <v>36</v>
      </c>
      <c r="B227" t="s">
        <v>8</v>
      </c>
      <c r="C227" t="s">
        <v>428</v>
      </c>
      <c r="D227" t="s">
        <v>14</v>
      </c>
      <c r="E227" t="s">
        <v>10</v>
      </c>
      <c r="F227" t="s">
        <v>13</v>
      </c>
      <c r="G227">
        <v>2</v>
      </c>
      <c r="H227" t="s">
        <v>429</v>
      </c>
    </row>
    <row r="228" spans="1:8" x14ac:dyDescent="0.3">
      <c r="A228" t="s">
        <v>58</v>
      </c>
      <c r="B228" t="s">
        <v>8</v>
      </c>
      <c r="C228" t="s">
        <v>430</v>
      </c>
      <c r="D228" t="s">
        <v>17</v>
      </c>
      <c r="E228" t="s">
        <v>15</v>
      </c>
      <c r="F228" t="s">
        <v>13</v>
      </c>
      <c r="G228">
        <v>1</v>
      </c>
      <c r="H228" t="s">
        <v>431</v>
      </c>
    </row>
    <row r="229" spans="1:8" x14ac:dyDescent="0.3">
      <c r="A229" t="s">
        <v>53</v>
      </c>
      <c r="B229" t="s">
        <v>8</v>
      </c>
      <c r="C229" t="s">
        <v>432</v>
      </c>
      <c r="D229" t="s">
        <v>14</v>
      </c>
      <c r="E229" t="s">
        <v>10</v>
      </c>
      <c r="F229" t="s">
        <v>13</v>
      </c>
      <c r="G229">
        <v>1</v>
      </c>
      <c r="H229" t="s">
        <v>433</v>
      </c>
    </row>
    <row r="230" spans="1:8" x14ac:dyDescent="0.3">
      <c r="A230" t="s">
        <v>58</v>
      </c>
      <c r="B230" t="s">
        <v>8</v>
      </c>
      <c r="C230" t="s">
        <v>434</v>
      </c>
      <c r="D230" t="s">
        <v>12</v>
      </c>
      <c r="E230" t="s">
        <v>10</v>
      </c>
      <c r="F230" t="s">
        <v>13</v>
      </c>
      <c r="G230">
        <v>2</v>
      </c>
      <c r="H230" t="s">
        <v>435</v>
      </c>
    </row>
    <row r="231" spans="1:8" x14ac:dyDescent="0.3">
      <c r="A231" t="s">
        <v>36</v>
      </c>
      <c r="B231" t="s">
        <v>8</v>
      </c>
      <c r="C231" t="s">
        <v>436</v>
      </c>
      <c r="D231" t="s">
        <v>9</v>
      </c>
      <c r="E231" t="s">
        <v>10</v>
      </c>
      <c r="F231" t="s">
        <v>11</v>
      </c>
      <c r="G231">
        <v>3</v>
      </c>
      <c r="H231" t="s">
        <v>437</v>
      </c>
    </row>
    <row r="232" spans="1:8" x14ac:dyDescent="0.3">
      <c r="A232" t="s">
        <v>36</v>
      </c>
      <c r="B232" t="s">
        <v>8</v>
      </c>
      <c r="C232" t="s">
        <v>438</v>
      </c>
      <c r="D232" t="s">
        <v>9</v>
      </c>
      <c r="E232" t="s">
        <v>10</v>
      </c>
      <c r="F232" t="s">
        <v>11</v>
      </c>
      <c r="G232">
        <v>4</v>
      </c>
      <c r="H232" t="s">
        <v>439</v>
      </c>
    </row>
    <row r="233" spans="1:8" x14ac:dyDescent="0.3">
      <c r="A233" t="s">
        <v>36</v>
      </c>
      <c r="B233" t="s">
        <v>8</v>
      </c>
      <c r="C233" t="s">
        <v>440</v>
      </c>
      <c r="D233" t="s">
        <v>9</v>
      </c>
      <c r="E233" t="s">
        <v>10</v>
      </c>
      <c r="F233" t="s">
        <v>11</v>
      </c>
      <c r="G233">
        <v>3</v>
      </c>
      <c r="H233" t="s">
        <v>441</v>
      </c>
    </row>
    <row r="234" spans="1:8" x14ac:dyDescent="0.3">
      <c r="A234" t="s">
        <v>273</v>
      </c>
      <c r="B234" t="s">
        <v>8</v>
      </c>
      <c r="C234" t="s">
        <v>442</v>
      </c>
      <c r="D234" t="s">
        <v>12</v>
      </c>
      <c r="E234" t="s">
        <v>15</v>
      </c>
      <c r="F234" t="s">
        <v>13</v>
      </c>
      <c r="G234">
        <v>2</v>
      </c>
      <c r="H234" t="s">
        <v>443</v>
      </c>
    </row>
    <row r="235" spans="1:8" x14ac:dyDescent="0.3">
      <c r="A235" t="s">
        <v>33</v>
      </c>
      <c r="B235" t="s">
        <v>8</v>
      </c>
      <c r="C235" t="s">
        <v>444</v>
      </c>
      <c r="D235" t="s">
        <v>12</v>
      </c>
      <c r="E235" t="s">
        <v>10</v>
      </c>
      <c r="F235" t="s">
        <v>13</v>
      </c>
      <c r="G235">
        <v>2</v>
      </c>
      <c r="H235" t="s">
        <v>445</v>
      </c>
    </row>
    <row r="236" spans="1:8" x14ac:dyDescent="0.3">
      <c r="A236" t="s">
        <v>33</v>
      </c>
      <c r="B236" t="s">
        <v>8</v>
      </c>
      <c r="C236" t="s">
        <v>125</v>
      </c>
      <c r="D236" t="s">
        <v>9</v>
      </c>
      <c r="E236" t="s">
        <v>10</v>
      </c>
      <c r="F236" t="s">
        <v>11</v>
      </c>
      <c r="G236">
        <v>2</v>
      </c>
      <c r="H236" t="s">
        <v>134</v>
      </c>
    </row>
    <row r="237" spans="1:8" x14ac:dyDescent="0.3">
      <c r="A237" t="s">
        <v>372</v>
      </c>
      <c r="B237" t="s">
        <v>8</v>
      </c>
      <c r="C237" t="s">
        <v>314</v>
      </c>
      <c r="D237" t="s">
        <v>17</v>
      </c>
      <c r="E237" t="s">
        <v>15</v>
      </c>
      <c r="F237" t="s">
        <v>13</v>
      </c>
      <c r="G237">
        <v>2</v>
      </c>
      <c r="H237" t="s">
        <v>446</v>
      </c>
    </row>
    <row r="238" spans="1:8" x14ac:dyDescent="0.3">
      <c r="A238" t="s">
        <v>30</v>
      </c>
      <c r="B238" t="s">
        <v>8</v>
      </c>
      <c r="C238" t="s">
        <v>447</v>
      </c>
      <c r="D238" t="s">
        <v>9</v>
      </c>
      <c r="E238" t="s">
        <v>10</v>
      </c>
      <c r="F238" t="s">
        <v>11</v>
      </c>
      <c r="G238">
        <v>2</v>
      </c>
      <c r="H238" t="s">
        <v>448</v>
      </c>
    </row>
    <row r="239" spans="1:8" x14ac:dyDescent="0.3">
      <c r="A239" t="s">
        <v>112</v>
      </c>
      <c r="B239" t="s">
        <v>8</v>
      </c>
      <c r="C239" t="s">
        <v>179</v>
      </c>
      <c r="D239" t="s">
        <v>12</v>
      </c>
      <c r="E239" t="s">
        <v>10</v>
      </c>
      <c r="F239" t="s">
        <v>13</v>
      </c>
      <c r="G239">
        <v>1</v>
      </c>
      <c r="H239" t="s">
        <v>449</v>
      </c>
    </row>
    <row r="240" spans="1:8" x14ac:dyDescent="0.3">
      <c r="A240" t="s">
        <v>53</v>
      </c>
      <c r="B240" t="s">
        <v>8</v>
      </c>
      <c r="C240" t="s">
        <v>450</v>
      </c>
      <c r="D240" t="s">
        <v>9</v>
      </c>
      <c r="E240" t="s">
        <v>10</v>
      </c>
      <c r="F240" t="s">
        <v>11</v>
      </c>
      <c r="G240">
        <v>2</v>
      </c>
      <c r="H240" t="s">
        <v>451</v>
      </c>
    </row>
    <row r="241" spans="1:8" x14ac:dyDescent="0.3">
      <c r="A241" t="s">
        <v>27</v>
      </c>
      <c r="B241" t="s">
        <v>8</v>
      </c>
      <c r="C241" t="s">
        <v>452</v>
      </c>
      <c r="D241" t="s">
        <v>14</v>
      </c>
      <c r="E241" t="s">
        <v>10</v>
      </c>
      <c r="F241" t="s">
        <v>13</v>
      </c>
      <c r="G241">
        <v>1</v>
      </c>
      <c r="H241" t="s">
        <v>453</v>
      </c>
    </row>
    <row r="242" spans="1:8" x14ac:dyDescent="0.3">
      <c r="A242" t="s">
        <v>53</v>
      </c>
      <c r="B242" t="s">
        <v>8</v>
      </c>
      <c r="C242" t="s">
        <v>61</v>
      </c>
      <c r="D242" t="s">
        <v>12</v>
      </c>
      <c r="E242" t="s">
        <v>10</v>
      </c>
      <c r="F242" t="s">
        <v>13</v>
      </c>
      <c r="G242">
        <v>1</v>
      </c>
      <c r="H242" t="s">
        <v>454</v>
      </c>
    </row>
    <row r="243" spans="1:8" x14ac:dyDescent="0.3">
      <c r="A243" t="s">
        <v>58</v>
      </c>
      <c r="B243" t="s">
        <v>8</v>
      </c>
      <c r="C243" t="s">
        <v>455</v>
      </c>
      <c r="D243" t="s">
        <v>17</v>
      </c>
      <c r="E243" t="s">
        <v>15</v>
      </c>
      <c r="F243" t="s">
        <v>13</v>
      </c>
      <c r="G243">
        <v>2</v>
      </c>
      <c r="H243" t="s">
        <v>378</v>
      </c>
    </row>
    <row r="244" spans="1:8" x14ac:dyDescent="0.3">
      <c r="A244" t="s">
        <v>36</v>
      </c>
      <c r="B244" t="s">
        <v>8</v>
      </c>
      <c r="C244" t="s">
        <v>456</v>
      </c>
      <c r="D244" t="s">
        <v>9</v>
      </c>
      <c r="E244" t="s">
        <v>10</v>
      </c>
      <c r="F244" t="s">
        <v>11</v>
      </c>
      <c r="G244">
        <v>4</v>
      </c>
      <c r="H244" t="s">
        <v>457</v>
      </c>
    </row>
    <row r="245" spans="1:8" x14ac:dyDescent="0.3">
      <c r="A245" t="s">
        <v>58</v>
      </c>
      <c r="B245" t="s">
        <v>8</v>
      </c>
      <c r="C245" t="s">
        <v>459</v>
      </c>
      <c r="D245" t="s">
        <v>18</v>
      </c>
      <c r="E245" t="s">
        <v>15</v>
      </c>
      <c r="F245" t="s">
        <v>13</v>
      </c>
      <c r="G245">
        <v>2</v>
      </c>
      <c r="H245" t="s">
        <v>460</v>
      </c>
    </row>
    <row r="246" spans="1:8" x14ac:dyDescent="0.3">
      <c r="A246" t="s">
        <v>27</v>
      </c>
      <c r="B246" t="s">
        <v>8</v>
      </c>
      <c r="C246" t="s">
        <v>461</v>
      </c>
      <c r="D246" t="s">
        <v>14</v>
      </c>
      <c r="E246" t="s">
        <v>15</v>
      </c>
      <c r="F246" t="s">
        <v>13</v>
      </c>
      <c r="G246">
        <v>3</v>
      </c>
      <c r="H246" t="s">
        <v>462</v>
      </c>
    </row>
    <row r="247" spans="1:8" x14ac:dyDescent="0.3">
      <c r="A247" t="s">
        <v>33</v>
      </c>
      <c r="B247" t="s">
        <v>8</v>
      </c>
      <c r="C247" t="s">
        <v>463</v>
      </c>
      <c r="D247" t="s">
        <v>12</v>
      </c>
      <c r="E247" t="s">
        <v>10</v>
      </c>
      <c r="F247" t="s">
        <v>13</v>
      </c>
      <c r="G247">
        <v>2</v>
      </c>
      <c r="H247" t="s">
        <v>464</v>
      </c>
    </row>
    <row r="248" spans="1:8" x14ac:dyDescent="0.3">
      <c r="A248" t="s">
        <v>58</v>
      </c>
      <c r="B248" t="s">
        <v>8</v>
      </c>
      <c r="C248" t="s">
        <v>465</v>
      </c>
      <c r="D248" t="s">
        <v>12</v>
      </c>
      <c r="E248" t="s">
        <v>15</v>
      </c>
      <c r="F248" t="s">
        <v>13</v>
      </c>
      <c r="G248">
        <v>1</v>
      </c>
      <c r="H248" t="s">
        <v>466</v>
      </c>
    </row>
    <row r="249" spans="1:8" x14ac:dyDescent="0.3">
      <c r="A249" t="s">
        <v>27</v>
      </c>
      <c r="B249" t="s">
        <v>8</v>
      </c>
      <c r="C249" t="s">
        <v>248</v>
      </c>
      <c r="D249" t="s">
        <v>14</v>
      </c>
      <c r="E249" t="s">
        <v>10</v>
      </c>
      <c r="F249" t="s">
        <v>13</v>
      </c>
      <c r="G249">
        <v>2</v>
      </c>
      <c r="H249" t="s">
        <v>467</v>
      </c>
    </row>
    <row r="250" spans="1:8" x14ac:dyDescent="0.3">
      <c r="A250" t="s">
        <v>36</v>
      </c>
      <c r="B250" t="s">
        <v>8</v>
      </c>
      <c r="C250" t="s">
        <v>468</v>
      </c>
      <c r="D250" t="s">
        <v>14</v>
      </c>
      <c r="E250" t="s">
        <v>10</v>
      </c>
      <c r="F250" t="s">
        <v>13</v>
      </c>
      <c r="G250">
        <v>2</v>
      </c>
      <c r="H250" t="s">
        <v>469</v>
      </c>
    </row>
    <row r="251" spans="1:8" x14ac:dyDescent="0.3">
      <c r="A251" t="s">
        <v>58</v>
      </c>
      <c r="B251" t="s">
        <v>8</v>
      </c>
      <c r="C251" t="s">
        <v>470</v>
      </c>
      <c r="D251" t="s">
        <v>17</v>
      </c>
      <c r="E251" t="s">
        <v>15</v>
      </c>
      <c r="F251" t="s">
        <v>13</v>
      </c>
      <c r="G251">
        <v>1</v>
      </c>
      <c r="H251" t="s">
        <v>471</v>
      </c>
    </row>
    <row r="252" spans="1:8" x14ac:dyDescent="0.3">
      <c r="A252" t="s">
        <v>53</v>
      </c>
      <c r="B252" t="s">
        <v>8</v>
      </c>
      <c r="C252" t="s">
        <v>472</v>
      </c>
      <c r="D252" t="s">
        <v>14</v>
      </c>
      <c r="E252" t="s">
        <v>10</v>
      </c>
      <c r="F252" t="s">
        <v>13</v>
      </c>
      <c r="G252">
        <v>1</v>
      </c>
      <c r="H252" t="s">
        <v>366</v>
      </c>
    </row>
    <row r="253" spans="1:8" x14ac:dyDescent="0.3">
      <c r="A253" t="s">
        <v>33</v>
      </c>
      <c r="B253" t="s">
        <v>8</v>
      </c>
      <c r="C253" t="s">
        <v>473</v>
      </c>
      <c r="D253" t="s">
        <v>14</v>
      </c>
      <c r="E253" t="s">
        <v>10</v>
      </c>
      <c r="F253" t="s">
        <v>13</v>
      </c>
      <c r="G253">
        <v>2</v>
      </c>
      <c r="H253" t="s">
        <v>211</v>
      </c>
    </row>
    <row r="254" spans="1:8" x14ac:dyDescent="0.3">
      <c r="A254" t="s">
        <v>33</v>
      </c>
      <c r="B254" t="s">
        <v>8</v>
      </c>
      <c r="C254" t="s">
        <v>474</v>
      </c>
      <c r="D254" t="s">
        <v>14</v>
      </c>
      <c r="E254" t="s">
        <v>10</v>
      </c>
      <c r="F254" t="s">
        <v>13</v>
      </c>
      <c r="G254">
        <v>3</v>
      </c>
      <c r="H254" t="s">
        <v>256</v>
      </c>
    </row>
    <row r="255" spans="1:8" x14ac:dyDescent="0.3">
      <c r="A255" t="s">
        <v>33</v>
      </c>
      <c r="B255" t="s">
        <v>8</v>
      </c>
      <c r="C255" t="s">
        <v>359</v>
      </c>
      <c r="D255" t="s">
        <v>14</v>
      </c>
      <c r="E255" t="s">
        <v>10</v>
      </c>
      <c r="F255" t="s">
        <v>13</v>
      </c>
      <c r="G255">
        <v>1</v>
      </c>
      <c r="H255" t="s">
        <v>475</v>
      </c>
    </row>
    <row r="256" spans="1:8" x14ac:dyDescent="0.3">
      <c r="A256" t="s">
        <v>36</v>
      </c>
      <c r="B256" t="s">
        <v>8</v>
      </c>
      <c r="C256" t="s">
        <v>476</v>
      </c>
      <c r="D256" t="s">
        <v>9</v>
      </c>
      <c r="E256" t="s">
        <v>10</v>
      </c>
      <c r="F256" t="s">
        <v>11</v>
      </c>
      <c r="G256">
        <v>2</v>
      </c>
      <c r="H256" t="s">
        <v>393</v>
      </c>
    </row>
    <row r="257" spans="1:8" x14ac:dyDescent="0.3">
      <c r="A257" t="s">
        <v>30</v>
      </c>
      <c r="B257" t="s">
        <v>8</v>
      </c>
      <c r="C257" t="s">
        <v>477</v>
      </c>
      <c r="D257" t="s">
        <v>9</v>
      </c>
      <c r="E257" t="s">
        <v>10</v>
      </c>
      <c r="F257" t="s">
        <v>11</v>
      </c>
      <c r="G257">
        <v>2</v>
      </c>
      <c r="H257" t="s">
        <v>57</v>
      </c>
    </row>
    <row r="258" spans="1:8" x14ac:dyDescent="0.3">
      <c r="A258" t="s">
        <v>36</v>
      </c>
      <c r="B258" t="s">
        <v>8</v>
      </c>
      <c r="C258" t="s">
        <v>478</v>
      </c>
      <c r="D258" t="s">
        <v>9</v>
      </c>
      <c r="E258" t="s">
        <v>10</v>
      </c>
      <c r="F258" t="s">
        <v>11</v>
      </c>
      <c r="G258">
        <v>2</v>
      </c>
      <c r="H258" t="s">
        <v>479</v>
      </c>
    </row>
    <row r="259" spans="1:8" x14ac:dyDescent="0.3">
      <c r="A259" t="s">
        <v>27</v>
      </c>
      <c r="B259" t="s">
        <v>8</v>
      </c>
      <c r="C259" t="s">
        <v>480</v>
      </c>
      <c r="D259" t="s">
        <v>14</v>
      </c>
      <c r="E259" t="s">
        <v>10</v>
      </c>
      <c r="F259" t="s">
        <v>13</v>
      </c>
      <c r="G259">
        <v>2</v>
      </c>
      <c r="H259" t="s">
        <v>196</v>
      </c>
    </row>
    <row r="260" spans="1:8" x14ac:dyDescent="0.3">
      <c r="A260" t="s">
        <v>372</v>
      </c>
      <c r="B260" t="s">
        <v>8</v>
      </c>
      <c r="C260" t="s">
        <v>481</v>
      </c>
      <c r="D260" t="s">
        <v>12</v>
      </c>
      <c r="E260" t="s">
        <v>15</v>
      </c>
      <c r="F260" t="s">
        <v>13</v>
      </c>
      <c r="G260">
        <v>1</v>
      </c>
      <c r="H260" t="s">
        <v>482</v>
      </c>
    </row>
    <row r="261" spans="1:8" x14ac:dyDescent="0.3">
      <c r="A261" t="s">
        <v>53</v>
      </c>
      <c r="B261" t="s">
        <v>8</v>
      </c>
      <c r="C261" t="s">
        <v>103</v>
      </c>
      <c r="D261" t="s">
        <v>14</v>
      </c>
      <c r="E261" t="s">
        <v>10</v>
      </c>
      <c r="F261" t="s">
        <v>13</v>
      </c>
      <c r="G261">
        <v>2</v>
      </c>
      <c r="H261" t="s">
        <v>483</v>
      </c>
    </row>
    <row r="262" spans="1:8" x14ac:dyDescent="0.3">
      <c r="A262" t="s">
        <v>112</v>
      </c>
      <c r="B262" t="s">
        <v>8</v>
      </c>
      <c r="C262" t="s">
        <v>484</v>
      </c>
      <c r="D262" t="s">
        <v>12</v>
      </c>
      <c r="E262" t="s">
        <v>10</v>
      </c>
      <c r="F262" t="s">
        <v>13</v>
      </c>
      <c r="G262">
        <v>1</v>
      </c>
      <c r="H262" t="s">
        <v>485</v>
      </c>
    </row>
    <row r="263" spans="1:8" x14ac:dyDescent="0.3">
      <c r="A263" t="s">
        <v>27</v>
      </c>
      <c r="B263" t="s">
        <v>8</v>
      </c>
      <c r="C263" t="s">
        <v>486</v>
      </c>
      <c r="D263" t="s">
        <v>9</v>
      </c>
      <c r="E263" t="s">
        <v>10</v>
      </c>
      <c r="F263" t="s">
        <v>11</v>
      </c>
      <c r="G263">
        <v>2</v>
      </c>
      <c r="H263" t="s">
        <v>277</v>
      </c>
    </row>
    <row r="264" spans="1:8" x14ac:dyDescent="0.3">
      <c r="A264" t="s">
        <v>372</v>
      </c>
      <c r="B264" t="s">
        <v>8</v>
      </c>
      <c r="C264" t="s">
        <v>487</v>
      </c>
      <c r="D264" t="s">
        <v>12</v>
      </c>
      <c r="E264" t="s">
        <v>10</v>
      </c>
      <c r="F264" t="s">
        <v>13</v>
      </c>
      <c r="G264">
        <v>1</v>
      </c>
      <c r="H264" t="s">
        <v>488</v>
      </c>
    </row>
    <row r="265" spans="1:8" x14ac:dyDescent="0.3">
      <c r="A265" t="s">
        <v>58</v>
      </c>
      <c r="B265" t="s">
        <v>8</v>
      </c>
      <c r="C265" t="s">
        <v>489</v>
      </c>
      <c r="D265" t="s">
        <v>12</v>
      </c>
      <c r="E265" t="s">
        <v>10</v>
      </c>
      <c r="F265" t="s">
        <v>13</v>
      </c>
      <c r="G265">
        <v>1</v>
      </c>
      <c r="H265" t="s">
        <v>490</v>
      </c>
    </row>
    <row r="266" spans="1:8" x14ac:dyDescent="0.3">
      <c r="A266" t="s">
        <v>30</v>
      </c>
      <c r="B266" t="s">
        <v>8</v>
      </c>
      <c r="C266" t="s">
        <v>491</v>
      </c>
      <c r="D266" t="s">
        <v>14</v>
      </c>
      <c r="E266" t="s">
        <v>10</v>
      </c>
      <c r="F266" t="s">
        <v>13</v>
      </c>
      <c r="G266">
        <v>2</v>
      </c>
      <c r="H266" t="s">
        <v>492</v>
      </c>
    </row>
    <row r="267" spans="1:8" x14ac:dyDescent="0.3">
      <c r="A267" t="s">
        <v>30</v>
      </c>
      <c r="B267" t="s">
        <v>8</v>
      </c>
      <c r="C267" t="s">
        <v>493</v>
      </c>
      <c r="D267" t="s">
        <v>14</v>
      </c>
      <c r="E267" t="s">
        <v>15</v>
      </c>
      <c r="F267" t="s">
        <v>13</v>
      </c>
      <c r="G267">
        <v>1</v>
      </c>
      <c r="H267" t="s">
        <v>412</v>
      </c>
    </row>
    <row r="268" spans="1:8" x14ac:dyDescent="0.3">
      <c r="A268" t="s">
        <v>58</v>
      </c>
      <c r="B268" t="s">
        <v>8</v>
      </c>
      <c r="C268" t="s">
        <v>494</v>
      </c>
      <c r="D268" t="s">
        <v>17</v>
      </c>
      <c r="E268" t="s">
        <v>10</v>
      </c>
      <c r="F268" t="s">
        <v>13</v>
      </c>
      <c r="G268">
        <v>2</v>
      </c>
      <c r="H268" t="s">
        <v>246</v>
      </c>
    </row>
    <row r="269" spans="1:8" x14ac:dyDescent="0.3">
      <c r="A269" t="s">
        <v>53</v>
      </c>
      <c r="B269" t="s">
        <v>8</v>
      </c>
      <c r="C269" t="s">
        <v>495</v>
      </c>
      <c r="D269" t="s">
        <v>14</v>
      </c>
      <c r="E269" t="s">
        <v>10</v>
      </c>
      <c r="F269" t="s">
        <v>13</v>
      </c>
      <c r="G269">
        <v>1</v>
      </c>
      <c r="H269" t="s">
        <v>496</v>
      </c>
    </row>
    <row r="270" spans="1:8" x14ac:dyDescent="0.3">
      <c r="A270" t="s">
        <v>33</v>
      </c>
      <c r="B270" t="s">
        <v>8</v>
      </c>
      <c r="C270" t="s">
        <v>497</v>
      </c>
      <c r="D270" t="s">
        <v>9</v>
      </c>
      <c r="E270" t="s">
        <v>10</v>
      </c>
      <c r="F270" t="s">
        <v>11</v>
      </c>
      <c r="G270">
        <v>7</v>
      </c>
      <c r="H270" t="s">
        <v>236</v>
      </c>
    </row>
    <row r="271" spans="1:8" x14ac:dyDescent="0.3">
      <c r="A271" t="s">
        <v>30</v>
      </c>
      <c r="B271" t="s">
        <v>8</v>
      </c>
      <c r="C271" t="s">
        <v>498</v>
      </c>
      <c r="D271" t="s">
        <v>14</v>
      </c>
      <c r="E271" t="s">
        <v>10</v>
      </c>
      <c r="F271" t="s">
        <v>13</v>
      </c>
      <c r="G271">
        <v>3</v>
      </c>
      <c r="H271" t="s">
        <v>499</v>
      </c>
    </row>
    <row r="272" spans="1:8" x14ac:dyDescent="0.3">
      <c r="A272" t="s">
        <v>30</v>
      </c>
      <c r="B272" t="s">
        <v>8</v>
      </c>
      <c r="C272" t="s">
        <v>500</v>
      </c>
      <c r="D272" t="s">
        <v>14</v>
      </c>
      <c r="E272" t="s">
        <v>15</v>
      </c>
      <c r="F272" t="s">
        <v>13</v>
      </c>
      <c r="G272">
        <v>2</v>
      </c>
      <c r="H272" t="s">
        <v>346</v>
      </c>
    </row>
    <row r="273" spans="1:8" x14ac:dyDescent="0.3">
      <c r="A273" t="s">
        <v>30</v>
      </c>
      <c r="B273" t="s">
        <v>8</v>
      </c>
      <c r="C273" t="s">
        <v>501</v>
      </c>
      <c r="D273" t="s">
        <v>14</v>
      </c>
      <c r="E273" t="s">
        <v>10</v>
      </c>
      <c r="F273" t="s">
        <v>13</v>
      </c>
      <c r="G273">
        <v>1</v>
      </c>
      <c r="H273" t="s">
        <v>479</v>
      </c>
    </row>
    <row r="274" spans="1:8" x14ac:dyDescent="0.3">
      <c r="A274" t="s">
        <v>112</v>
      </c>
      <c r="B274" t="s">
        <v>8</v>
      </c>
      <c r="C274" t="s">
        <v>502</v>
      </c>
      <c r="D274" t="s">
        <v>12</v>
      </c>
      <c r="E274" t="s">
        <v>10</v>
      </c>
      <c r="F274" t="s">
        <v>13</v>
      </c>
      <c r="G274">
        <v>1</v>
      </c>
      <c r="H274" t="s">
        <v>503</v>
      </c>
    </row>
    <row r="275" spans="1:8" x14ac:dyDescent="0.3">
      <c r="A275" t="s">
        <v>36</v>
      </c>
      <c r="B275" t="s">
        <v>8</v>
      </c>
      <c r="C275" t="s">
        <v>504</v>
      </c>
      <c r="D275" t="s">
        <v>9</v>
      </c>
      <c r="E275" t="s">
        <v>10</v>
      </c>
      <c r="F275" t="s">
        <v>11</v>
      </c>
      <c r="G275">
        <v>2</v>
      </c>
      <c r="H275" t="s">
        <v>505</v>
      </c>
    </row>
    <row r="276" spans="1:8" x14ac:dyDescent="0.3">
      <c r="A276" t="s">
        <v>33</v>
      </c>
      <c r="B276" t="s">
        <v>8</v>
      </c>
      <c r="C276" t="s">
        <v>270</v>
      </c>
      <c r="D276" t="s">
        <v>14</v>
      </c>
      <c r="E276" t="s">
        <v>10</v>
      </c>
      <c r="F276" t="s">
        <v>13</v>
      </c>
      <c r="G276">
        <v>2</v>
      </c>
      <c r="H276" t="s">
        <v>221</v>
      </c>
    </row>
    <row r="277" spans="1:8" x14ac:dyDescent="0.3">
      <c r="A277" t="s">
        <v>27</v>
      </c>
      <c r="B277" t="s">
        <v>8</v>
      </c>
      <c r="C277" t="s">
        <v>506</v>
      </c>
      <c r="D277" t="s">
        <v>14</v>
      </c>
      <c r="E277" t="s">
        <v>10</v>
      </c>
      <c r="F277" t="s">
        <v>13</v>
      </c>
      <c r="G277">
        <v>1</v>
      </c>
      <c r="H277" t="s">
        <v>507</v>
      </c>
    </row>
    <row r="278" spans="1:8" x14ac:dyDescent="0.3">
      <c r="A278" t="s">
        <v>33</v>
      </c>
      <c r="B278" t="s">
        <v>8</v>
      </c>
      <c r="C278" t="s">
        <v>508</v>
      </c>
      <c r="D278" t="s">
        <v>14</v>
      </c>
      <c r="E278" t="s">
        <v>10</v>
      </c>
      <c r="F278" t="s">
        <v>13</v>
      </c>
      <c r="G278">
        <v>2</v>
      </c>
      <c r="H278" t="s">
        <v>509</v>
      </c>
    </row>
    <row r="279" spans="1:8" x14ac:dyDescent="0.3">
      <c r="A279" t="s">
        <v>33</v>
      </c>
      <c r="B279" t="s">
        <v>8</v>
      </c>
      <c r="C279" t="s">
        <v>510</v>
      </c>
      <c r="D279" t="s">
        <v>9</v>
      </c>
      <c r="E279" t="s">
        <v>10</v>
      </c>
      <c r="F279" t="s">
        <v>11</v>
      </c>
      <c r="G279">
        <v>2</v>
      </c>
      <c r="H279" t="s">
        <v>511</v>
      </c>
    </row>
    <row r="280" spans="1:8" x14ac:dyDescent="0.3">
      <c r="A280" t="s">
        <v>53</v>
      </c>
      <c r="B280" t="s">
        <v>8</v>
      </c>
      <c r="C280" t="s">
        <v>512</v>
      </c>
      <c r="D280" t="s">
        <v>9</v>
      </c>
      <c r="E280" t="s">
        <v>10</v>
      </c>
      <c r="F280" t="s">
        <v>11</v>
      </c>
      <c r="G280">
        <v>1</v>
      </c>
      <c r="H280" t="s">
        <v>513</v>
      </c>
    </row>
    <row r="281" spans="1:8" x14ac:dyDescent="0.3">
      <c r="A281" t="s">
        <v>58</v>
      </c>
      <c r="B281" t="s">
        <v>8</v>
      </c>
      <c r="C281" t="s">
        <v>514</v>
      </c>
      <c r="D281" t="s">
        <v>12</v>
      </c>
      <c r="E281" t="s">
        <v>10</v>
      </c>
      <c r="F281" t="s">
        <v>13</v>
      </c>
      <c r="G281">
        <v>1</v>
      </c>
      <c r="H281" t="s">
        <v>515</v>
      </c>
    </row>
    <row r="282" spans="1:8" x14ac:dyDescent="0.3">
      <c r="A282" t="s">
        <v>273</v>
      </c>
      <c r="B282" t="s">
        <v>8</v>
      </c>
      <c r="C282" t="s">
        <v>516</v>
      </c>
      <c r="D282" t="s">
        <v>12</v>
      </c>
      <c r="E282" t="s">
        <v>10</v>
      </c>
      <c r="F282" t="s">
        <v>13</v>
      </c>
      <c r="G282">
        <v>1</v>
      </c>
      <c r="H282" t="s">
        <v>517</v>
      </c>
    </row>
    <row r="283" spans="1:8" x14ac:dyDescent="0.3">
      <c r="A283" t="s">
        <v>58</v>
      </c>
      <c r="B283" t="s">
        <v>8</v>
      </c>
      <c r="C283" t="s">
        <v>195</v>
      </c>
      <c r="D283" t="s">
        <v>12</v>
      </c>
      <c r="E283" t="s">
        <v>10</v>
      </c>
      <c r="F283" t="s">
        <v>13</v>
      </c>
      <c r="G283">
        <v>1</v>
      </c>
      <c r="H283" t="s">
        <v>114</v>
      </c>
    </row>
    <row r="284" spans="1:8" x14ac:dyDescent="0.3">
      <c r="A284" t="s">
        <v>58</v>
      </c>
      <c r="B284" t="s">
        <v>8</v>
      </c>
      <c r="C284" t="s">
        <v>518</v>
      </c>
      <c r="D284" t="s">
        <v>12</v>
      </c>
      <c r="E284" t="s">
        <v>10</v>
      </c>
      <c r="F284" t="s">
        <v>13</v>
      </c>
      <c r="G284">
        <v>1</v>
      </c>
      <c r="H284" t="s">
        <v>519</v>
      </c>
    </row>
    <row r="285" spans="1:8" x14ac:dyDescent="0.3">
      <c r="A285" t="s">
        <v>36</v>
      </c>
      <c r="B285" t="s">
        <v>8</v>
      </c>
      <c r="C285" t="s">
        <v>359</v>
      </c>
      <c r="D285" t="s">
        <v>14</v>
      </c>
      <c r="E285" t="s">
        <v>10</v>
      </c>
      <c r="F285" t="s">
        <v>13</v>
      </c>
      <c r="G285">
        <v>2</v>
      </c>
      <c r="H285" t="s">
        <v>335</v>
      </c>
    </row>
    <row r="286" spans="1:8" x14ac:dyDescent="0.3">
      <c r="A286" t="s">
        <v>30</v>
      </c>
      <c r="B286" t="s">
        <v>8</v>
      </c>
      <c r="C286" t="s">
        <v>520</v>
      </c>
      <c r="D286" t="s">
        <v>9</v>
      </c>
      <c r="E286" t="s">
        <v>10</v>
      </c>
      <c r="F286" t="s">
        <v>11</v>
      </c>
      <c r="G286">
        <v>2</v>
      </c>
      <c r="H286" t="s">
        <v>521</v>
      </c>
    </row>
    <row r="287" spans="1:8" x14ac:dyDescent="0.3">
      <c r="A287" t="s">
        <v>58</v>
      </c>
      <c r="B287" t="s">
        <v>8</v>
      </c>
      <c r="C287" t="s">
        <v>522</v>
      </c>
      <c r="D287" t="s">
        <v>12</v>
      </c>
      <c r="E287" t="s">
        <v>15</v>
      </c>
      <c r="F287" t="s">
        <v>13</v>
      </c>
      <c r="G287">
        <v>1</v>
      </c>
      <c r="H287" t="s">
        <v>523</v>
      </c>
    </row>
    <row r="288" spans="1:8" x14ac:dyDescent="0.3">
      <c r="A288" t="s">
        <v>53</v>
      </c>
      <c r="B288" t="s">
        <v>8</v>
      </c>
      <c r="C288" t="s">
        <v>524</v>
      </c>
      <c r="D288" t="s">
        <v>9</v>
      </c>
      <c r="E288" t="s">
        <v>10</v>
      </c>
      <c r="F288" t="s">
        <v>11</v>
      </c>
      <c r="G288">
        <v>2</v>
      </c>
      <c r="H288" t="s">
        <v>525</v>
      </c>
    </row>
    <row r="289" spans="1:8" x14ac:dyDescent="0.3">
      <c r="A289" t="s">
        <v>36</v>
      </c>
      <c r="B289" t="s">
        <v>8</v>
      </c>
      <c r="C289" t="s">
        <v>526</v>
      </c>
      <c r="D289" t="s">
        <v>14</v>
      </c>
      <c r="E289" t="s">
        <v>10</v>
      </c>
      <c r="F289" t="s">
        <v>13</v>
      </c>
      <c r="G289">
        <v>1</v>
      </c>
      <c r="H289" t="s">
        <v>527</v>
      </c>
    </row>
    <row r="290" spans="1:8" x14ac:dyDescent="0.3">
      <c r="A290" t="s">
        <v>58</v>
      </c>
      <c r="B290" t="s">
        <v>8</v>
      </c>
      <c r="C290" t="s">
        <v>528</v>
      </c>
      <c r="D290" t="s">
        <v>12</v>
      </c>
      <c r="E290" t="s">
        <v>15</v>
      </c>
      <c r="F290" t="s">
        <v>13</v>
      </c>
      <c r="G290">
        <v>1</v>
      </c>
      <c r="H290" t="s">
        <v>529</v>
      </c>
    </row>
    <row r="291" spans="1:8" x14ac:dyDescent="0.3">
      <c r="A291" t="s">
        <v>36</v>
      </c>
      <c r="B291" t="s">
        <v>8</v>
      </c>
      <c r="C291" t="s">
        <v>530</v>
      </c>
      <c r="D291" t="s">
        <v>9</v>
      </c>
      <c r="E291" t="s">
        <v>10</v>
      </c>
      <c r="F291" t="s">
        <v>11</v>
      </c>
      <c r="G291">
        <v>3</v>
      </c>
      <c r="H291" t="s">
        <v>531</v>
      </c>
    </row>
    <row r="292" spans="1:8" x14ac:dyDescent="0.3">
      <c r="A292" t="s">
        <v>58</v>
      </c>
      <c r="B292" t="s">
        <v>8</v>
      </c>
      <c r="C292" t="s">
        <v>266</v>
      </c>
      <c r="D292" t="s">
        <v>17</v>
      </c>
      <c r="E292" t="s">
        <v>10</v>
      </c>
      <c r="F292" t="s">
        <v>13</v>
      </c>
      <c r="G292">
        <v>1</v>
      </c>
      <c r="H292" t="s">
        <v>532</v>
      </c>
    </row>
    <row r="293" spans="1:8" x14ac:dyDescent="0.3">
      <c r="A293" t="s">
        <v>112</v>
      </c>
      <c r="B293" t="s">
        <v>8</v>
      </c>
      <c r="C293" t="s">
        <v>533</v>
      </c>
      <c r="D293" t="s">
        <v>12</v>
      </c>
      <c r="E293" t="s">
        <v>15</v>
      </c>
      <c r="F293" t="s">
        <v>13</v>
      </c>
      <c r="G293">
        <v>2</v>
      </c>
      <c r="H293" t="s">
        <v>534</v>
      </c>
    </row>
    <row r="294" spans="1:8" x14ac:dyDescent="0.3">
      <c r="A294" t="s">
        <v>112</v>
      </c>
      <c r="B294" t="s">
        <v>8</v>
      </c>
      <c r="C294" t="s">
        <v>535</v>
      </c>
      <c r="D294" t="s">
        <v>12</v>
      </c>
      <c r="E294" t="s">
        <v>15</v>
      </c>
      <c r="F294" t="s">
        <v>13</v>
      </c>
      <c r="G294">
        <v>1</v>
      </c>
      <c r="H294" t="s">
        <v>536</v>
      </c>
    </row>
    <row r="295" spans="1:8" x14ac:dyDescent="0.3">
      <c r="A295" t="s">
        <v>58</v>
      </c>
      <c r="B295" t="s">
        <v>8</v>
      </c>
      <c r="C295" t="s">
        <v>537</v>
      </c>
      <c r="D295" t="s">
        <v>17</v>
      </c>
      <c r="E295" t="s">
        <v>10</v>
      </c>
      <c r="F295" t="s">
        <v>13</v>
      </c>
      <c r="G295">
        <v>1</v>
      </c>
      <c r="H295" t="s">
        <v>538</v>
      </c>
    </row>
    <row r="296" spans="1:8" x14ac:dyDescent="0.3">
      <c r="A296" t="s">
        <v>30</v>
      </c>
      <c r="B296" t="s">
        <v>8</v>
      </c>
      <c r="C296" t="s">
        <v>103</v>
      </c>
      <c r="D296" t="s">
        <v>14</v>
      </c>
      <c r="E296" t="s">
        <v>10</v>
      </c>
      <c r="F296" t="s">
        <v>13</v>
      </c>
      <c r="G296">
        <v>2</v>
      </c>
      <c r="H296" t="s">
        <v>539</v>
      </c>
    </row>
    <row r="297" spans="1:8" x14ac:dyDescent="0.3">
      <c r="A297" t="s">
        <v>58</v>
      </c>
      <c r="B297" t="s">
        <v>8</v>
      </c>
      <c r="C297" t="s">
        <v>540</v>
      </c>
      <c r="D297" t="s">
        <v>12</v>
      </c>
      <c r="E297" t="s">
        <v>10</v>
      </c>
      <c r="F297" t="s">
        <v>13</v>
      </c>
      <c r="G297">
        <v>2</v>
      </c>
      <c r="H297" t="s">
        <v>322</v>
      </c>
    </row>
    <row r="298" spans="1:8" x14ac:dyDescent="0.3">
      <c r="A298" t="s">
        <v>58</v>
      </c>
      <c r="B298" t="s">
        <v>8</v>
      </c>
      <c r="C298" t="s">
        <v>541</v>
      </c>
      <c r="D298" t="s">
        <v>17</v>
      </c>
      <c r="E298" t="s">
        <v>15</v>
      </c>
      <c r="F298" t="s">
        <v>13</v>
      </c>
      <c r="G298">
        <v>1</v>
      </c>
      <c r="H298" t="s">
        <v>542</v>
      </c>
    </row>
    <row r="299" spans="1:8" x14ac:dyDescent="0.3">
      <c r="A299" t="s">
        <v>33</v>
      </c>
      <c r="B299" t="s">
        <v>8</v>
      </c>
      <c r="C299" t="s">
        <v>392</v>
      </c>
      <c r="D299" t="s">
        <v>9</v>
      </c>
      <c r="E299" t="s">
        <v>10</v>
      </c>
      <c r="F299" t="s">
        <v>11</v>
      </c>
      <c r="G299">
        <v>2</v>
      </c>
      <c r="H299" t="s">
        <v>543</v>
      </c>
    </row>
    <row r="300" spans="1:8" x14ac:dyDescent="0.3">
      <c r="A300" t="s">
        <v>33</v>
      </c>
      <c r="B300" t="s">
        <v>8</v>
      </c>
      <c r="C300" t="s">
        <v>544</v>
      </c>
      <c r="D300" t="s">
        <v>9</v>
      </c>
      <c r="E300" t="s">
        <v>10</v>
      </c>
      <c r="F300" t="s">
        <v>11</v>
      </c>
      <c r="G300">
        <v>1</v>
      </c>
      <c r="H300" t="s">
        <v>545</v>
      </c>
    </row>
    <row r="301" spans="1:8" x14ac:dyDescent="0.3">
      <c r="A301" t="s">
        <v>53</v>
      </c>
      <c r="B301" t="s">
        <v>8</v>
      </c>
      <c r="C301" t="s">
        <v>56</v>
      </c>
      <c r="D301" t="s">
        <v>9</v>
      </c>
      <c r="E301" t="s">
        <v>10</v>
      </c>
      <c r="F301" t="s">
        <v>11</v>
      </c>
      <c r="G301">
        <v>1</v>
      </c>
      <c r="H301" t="s">
        <v>546</v>
      </c>
    </row>
    <row r="302" spans="1:8" x14ac:dyDescent="0.3">
      <c r="A302" t="s">
        <v>36</v>
      </c>
      <c r="B302" t="s">
        <v>8</v>
      </c>
      <c r="C302" t="s">
        <v>547</v>
      </c>
      <c r="D302" t="s">
        <v>14</v>
      </c>
      <c r="E302" t="s">
        <v>15</v>
      </c>
      <c r="F302" t="s">
        <v>13</v>
      </c>
      <c r="G302">
        <v>1</v>
      </c>
      <c r="H302" t="s">
        <v>548</v>
      </c>
    </row>
    <row r="303" spans="1:8" x14ac:dyDescent="0.3">
      <c r="A303" t="s">
        <v>36</v>
      </c>
      <c r="B303" t="s">
        <v>8</v>
      </c>
      <c r="C303" t="s">
        <v>549</v>
      </c>
      <c r="D303" t="s">
        <v>9</v>
      </c>
      <c r="E303" t="s">
        <v>10</v>
      </c>
      <c r="F303" t="s">
        <v>11</v>
      </c>
      <c r="G303">
        <v>2</v>
      </c>
      <c r="H303" t="s">
        <v>458</v>
      </c>
    </row>
    <row r="304" spans="1:8" x14ac:dyDescent="0.3">
      <c r="A304" t="s">
        <v>58</v>
      </c>
      <c r="B304" t="s">
        <v>8</v>
      </c>
      <c r="C304" t="s">
        <v>550</v>
      </c>
      <c r="D304" t="s">
        <v>12</v>
      </c>
      <c r="E304" t="s">
        <v>10</v>
      </c>
      <c r="F304" t="s">
        <v>13</v>
      </c>
      <c r="G304">
        <v>1</v>
      </c>
      <c r="H304" t="s">
        <v>551</v>
      </c>
    </row>
    <row r="305" spans="1:8" x14ac:dyDescent="0.3">
      <c r="A305" t="s">
        <v>33</v>
      </c>
      <c r="B305" t="s">
        <v>8</v>
      </c>
      <c r="C305" t="s">
        <v>28</v>
      </c>
      <c r="D305" t="s">
        <v>12</v>
      </c>
      <c r="E305" t="s">
        <v>10</v>
      </c>
      <c r="F305" t="s">
        <v>13</v>
      </c>
      <c r="G305">
        <v>2</v>
      </c>
      <c r="H305" t="s">
        <v>552</v>
      </c>
    </row>
    <row r="306" spans="1:8" x14ac:dyDescent="0.3">
      <c r="A306" t="s">
        <v>58</v>
      </c>
      <c r="B306" t="s">
        <v>8</v>
      </c>
      <c r="C306" t="s">
        <v>553</v>
      </c>
      <c r="D306" t="s">
        <v>12</v>
      </c>
      <c r="E306" t="s">
        <v>10</v>
      </c>
      <c r="F306" t="s">
        <v>13</v>
      </c>
      <c r="G306">
        <v>1</v>
      </c>
      <c r="H306" t="s">
        <v>554</v>
      </c>
    </row>
    <row r="307" spans="1:8" x14ac:dyDescent="0.3">
      <c r="A307" t="s">
        <v>36</v>
      </c>
      <c r="B307" t="s">
        <v>8</v>
      </c>
      <c r="C307" t="s">
        <v>555</v>
      </c>
      <c r="D307" t="s">
        <v>18</v>
      </c>
      <c r="E307" t="s">
        <v>10</v>
      </c>
      <c r="F307" t="s">
        <v>11</v>
      </c>
      <c r="G307">
        <v>2</v>
      </c>
      <c r="H307" t="s">
        <v>556</v>
      </c>
    </row>
    <row r="308" spans="1:8" x14ac:dyDescent="0.3">
      <c r="A308" t="s">
        <v>112</v>
      </c>
      <c r="B308" t="s">
        <v>8</v>
      </c>
      <c r="C308" t="s">
        <v>557</v>
      </c>
      <c r="D308" t="s">
        <v>12</v>
      </c>
      <c r="E308" t="s">
        <v>15</v>
      </c>
      <c r="F308" t="s">
        <v>13</v>
      </c>
      <c r="G308">
        <v>2</v>
      </c>
      <c r="H308" t="s">
        <v>558</v>
      </c>
    </row>
    <row r="309" spans="1:8" x14ac:dyDescent="0.3">
      <c r="A309" t="s">
        <v>36</v>
      </c>
      <c r="B309" t="s">
        <v>8</v>
      </c>
      <c r="C309" t="s">
        <v>28</v>
      </c>
      <c r="D309" t="s">
        <v>14</v>
      </c>
      <c r="E309" t="s">
        <v>15</v>
      </c>
      <c r="F309" t="s">
        <v>13</v>
      </c>
      <c r="G309">
        <v>2</v>
      </c>
      <c r="H309" t="s">
        <v>88</v>
      </c>
    </row>
    <row r="310" spans="1:8" x14ac:dyDescent="0.3">
      <c r="A310" t="s">
        <v>36</v>
      </c>
      <c r="B310" t="s">
        <v>8</v>
      </c>
      <c r="C310" t="s">
        <v>293</v>
      </c>
      <c r="D310" t="s">
        <v>14</v>
      </c>
      <c r="E310" t="s">
        <v>10</v>
      </c>
      <c r="F310" t="s">
        <v>13</v>
      </c>
      <c r="G310">
        <v>2</v>
      </c>
      <c r="H310" t="s">
        <v>559</v>
      </c>
    </row>
    <row r="311" spans="1:8" x14ac:dyDescent="0.3">
      <c r="A311" t="s">
        <v>36</v>
      </c>
      <c r="B311" t="s">
        <v>8</v>
      </c>
      <c r="C311" t="s">
        <v>560</v>
      </c>
      <c r="D311" t="s">
        <v>16</v>
      </c>
      <c r="E311" t="s">
        <v>10</v>
      </c>
      <c r="F311" t="s">
        <v>13</v>
      </c>
      <c r="G311">
        <v>2</v>
      </c>
      <c r="H311" t="s">
        <v>561</v>
      </c>
    </row>
    <row r="312" spans="1:8" x14ac:dyDescent="0.3">
      <c r="A312" t="s">
        <v>372</v>
      </c>
      <c r="B312" t="s">
        <v>8</v>
      </c>
      <c r="C312" t="s">
        <v>292</v>
      </c>
      <c r="D312" t="s">
        <v>12</v>
      </c>
      <c r="E312" t="s">
        <v>15</v>
      </c>
      <c r="F312" t="s">
        <v>13</v>
      </c>
      <c r="G312">
        <v>1</v>
      </c>
      <c r="H312" t="s">
        <v>562</v>
      </c>
    </row>
    <row r="313" spans="1:8" x14ac:dyDescent="0.3">
      <c r="A313" t="s">
        <v>273</v>
      </c>
      <c r="B313" t="s">
        <v>8</v>
      </c>
      <c r="C313" t="s">
        <v>563</v>
      </c>
      <c r="D313" t="s">
        <v>12</v>
      </c>
      <c r="E313" t="s">
        <v>10</v>
      </c>
      <c r="F313" t="s">
        <v>13</v>
      </c>
      <c r="G313">
        <v>1</v>
      </c>
      <c r="H313" t="s">
        <v>471</v>
      </c>
    </row>
    <row r="314" spans="1:8" x14ac:dyDescent="0.3">
      <c r="A314" t="s">
        <v>36</v>
      </c>
      <c r="B314" t="s">
        <v>8</v>
      </c>
      <c r="C314" t="s">
        <v>564</v>
      </c>
      <c r="D314" t="s">
        <v>16</v>
      </c>
      <c r="E314" t="s">
        <v>10</v>
      </c>
      <c r="F314" t="s">
        <v>13</v>
      </c>
      <c r="G314">
        <v>2</v>
      </c>
      <c r="H314" t="s">
        <v>38</v>
      </c>
    </row>
    <row r="315" spans="1:8" x14ac:dyDescent="0.3">
      <c r="A315" t="s">
        <v>58</v>
      </c>
      <c r="B315" t="s">
        <v>8</v>
      </c>
      <c r="C315" t="s">
        <v>565</v>
      </c>
      <c r="D315" t="s">
        <v>12</v>
      </c>
      <c r="E315" t="s">
        <v>10</v>
      </c>
      <c r="F315" t="s">
        <v>13</v>
      </c>
      <c r="G315">
        <v>1</v>
      </c>
      <c r="H315" t="s">
        <v>566</v>
      </c>
    </row>
    <row r="316" spans="1:8" x14ac:dyDescent="0.3">
      <c r="A316" t="s">
        <v>30</v>
      </c>
      <c r="B316" t="s">
        <v>8</v>
      </c>
      <c r="C316" t="s">
        <v>249</v>
      </c>
      <c r="D316" t="s">
        <v>12</v>
      </c>
      <c r="E316" t="s">
        <v>10</v>
      </c>
      <c r="F316" t="s">
        <v>13</v>
      </c>
      <c r="G316">
        <v>2</v>
      </c>
      <c r="H316" t="s">
        <v>109</v>
      </c>
    </row>
    <row r="317" spans="1:8" x14ac:dyDescent="0.3">
      <c r="A317" t="s">
        <v>372</v>
      </c>
      <c r="B317" t="s">
        <v>8</v>
      </c>
      <c r="C317" t="s">
        <v>567</v>
      </c>
      <c r="D317" t="s">
        <v>12</v>
      </c>
      <c r="E317" t="s">
        <v>15</v>
      </c>
      <c r="F317" t="s">
        <v>13</v>
      </c>
      <c r="G317">
        <v>1</v>
      </c>
      <c r="H317" t="s">
        <v>565</v>
      </c>
    </row>
    <row r="318" spans="1:8" x14ac:dyDescent="0.3">
      <c r="A318" t="s">
        <v>112</v>
      </c>
      <c r="B318" t="s">
        <v>8</v>
      </c>
      <c r="C318" t="s">
        <v>568</v>
      </c>
      <c r="D318" t="s">
        <v>12</v>
      </c>
      <c r="E318" t="s">
        <v>10</v>
      </c>
      <c r="F318" t="s">
        <v>13</v>
      </c>
      <c r="G318">
        <v>1</v>
      </c>
      <c r="H318" t="s">
        <v>503</v>
      </c>
    </row>
    <row r="319" spans="1:8" x14ac:dyDescent="0.3">
      <c r="A319" t="s">
        <v>273</v>
      </c>
      <c r="B319" t="s">
        <v>8</v>
      </c>
      <c r="C319" t="s">
        <v>569</v>
      </c>
      <c r="D319" t="s">
        <v>17</v>
      </c>
      <c r="E319" t="s">
        <v>15</v>
      </c>
      <c r="F319" t="s">
        <v>13</v>
      </c>
      <c r="G319">
        <v>1</v>
      </c>
      <c r="H319" t="s">
        <v>570</v>
      </c>
    </row>
    <row r="320" spans="1:8" x14ac:dyDescent="0.3">
      <c r="A320" t="s">
        <v>33</v>
      </c>
      <c r="B320" t="s">
        <v>8</v>
      </c>
      <c r="C320" t="s">
        <v>571</v>
      </c>
      <c r="D320" t="s">
        <v>14</v>
      </c>
      <c r="E320" t="s">
        <v>10</v>
      </c>
      <c r="F320" t="s">
        <v>13</v>
      </c>
      <c r="G320">
        <v>2</v>
      </c>
      <c r="H320" t="s">
        <v>244</v>
      </c>
    </row>
    <row r="321" spans="1:8" x14ac:dyDescent="0.3">
      <c r="A321" t="s">
        <v>36</v>
      </c>
      <c r="B321" t="s">
        <v>8</v>
      </c>
      <c r="C321" t="s">
        <v>572</v>
      </c>
      <c r="D321" t="s">
        <v>16</v>
      </c>
      <c r="E321" t="s">
        <v>10</v>
      </c>
      <c r="F321" t="s">
        <v>13</v>
      </c>
      <c r="G321">
        <v>3</v>
      </c>
      <c r="H321" t="s">
        <v>256</v>
      </c>
    </row>
    <row r="322" spans="1:8" x14ac:dyDescent="0.3">
      <c r="A322" t="s">
        <v>30</v>
      </c>
      <c r="B322" t="s">
        <v>8</v>
      </c>
      <c r="C322" t="s">
        <v>28</v>
      </c>
      <c r="D322" t="s">
        <v>12</v>
      </c>
      <c r="E322" t="s">
        <v>10</v>
      </c>
      <c r="F322" t="s">
        <v>13</v>
      </c>
      <c r="G322">
        <v>1</v>
      </c>
      <c r="H322" t="s">
        <v>289</v>
      </c>
    </row>
    <row r="323" spans="1:8" x14ac:dyDescent="0.3">
      <c r="A323" t="s">
        <v>53</v>
      </c>
      <c r="B323" t="s">
        <v>8</v>
      </c>
      <c r="C323" t="s">
        <v>158</v>
      </c>
      <c r="D323" t="s">
        <v>12</v>
      </c>
      <c r="E323" t="s">
        <v>10</v>
      </c>
      <c r="F323" t="s">
        <v>13</v>
      </c>
      <c r="G323">
        <v>1</v>
      </c>
      <c r="H323" t="s">
        <v>261</v>
      </c>
    </row>
    <row r="324" spans="1:8" x14ac:dyDescent="0.3">
      <c r="A324" t="s">
        <v>53</v>
      </c>
      <c r="B324" t="s">
        <v>8</v>
      </c>
      <c r="C324" t="s">
        <v>573</v>
      </c>
      <c r="D324" t="s">
        <v>9</v>
      </c>
      <c r="E324" t="s">
        <v>10</v>
      </c>
      <c r="F324" t="s">
        <v>11</v>
      </c>
      <c r="G324">
        <v>2</v>
      </c>
      <c r="H324" t="s">
        <v>574</v>
      </c>
    </row>
    <row r="325" spans="1:8" x14ac:dyDescent="0.3">
      <c r="A325" t="s">
        <v>33</v>
      </c>
      <c r="B325" t="s">
        <v>8</v>
      </c>
      <c r="C325" t="s">
        <v>575</v>
      </c>
      <c r="D325" t="s">
        <v>9</v>
      </c>
      <c r="E325" t="s">
        <v>15</v>
      </c>
      <c r="F325" t="s">
        <v>11</v>
      </c>
      <c r="G325">
        <v>1</v>
      </c>
      <c r="H325" t="s">
        <v>475</v>
      </c>
    </row>
    <row r="326" spans="1:8" x14ac:dyDescent="0.3">
      <c r="A326" t="s">
        <v>53</v>
      </c>
      <c r="B326" t="s">
        <v>8</v>
      </c>
      <c r="C326" t="s">
        <v>576</v>
      </c>
      <c r="D326" t="s">
        <v>14</v>
      </c>
      <c r="E326" t="s">
        <v>10</v>
      </c>
      <c r="F326" t="s">
        <v>13</v>
      </c>
      <c r="G326">
        <v>3</v>
      </c>
      <c r="H326" t="s">
        <v>577</v>
      </c>
    </row>
    <row r="327" spans="1:8" x14ac:dyDescent="0.3">
      <c r="A327" t="s">
        <v>27</v>
      </c>
      <c r="B327" t="s">
        <v>8</v>
      </c>
      <c r="C327" t="s">
        <v>578</v>
      </c>
      <c r="D327" t="s">
        <v>12</v>
      </c>
      <c r="E327" t="s">
        <v>10</v>
      </c>
      <c r="F327" t="s">
        <v>13</v>
      </c>
      <c r="G327">
        <v>2</v>
      </c>
      <c r="H327" t="s">
        <v>579</v>
      </c>
    </row>
    <row r="328" spans="1:8" x14ac:dyDescent="0.3">
      <c r="A328" t="s">
        <v>112</v>
      </c>
      <c r="B328" t="s">
        <v>8</v>
      </c>
      <c r="C328" t="s">
        <v>580</v>
      </c>
      <c r="D328" t="s">
        <v>17</v>
      </c>
      <c r="E328" t="s">
        <v>15</v>
      </c>
      <c r="F328" t="s">
        <v>13</v>
      </c>
      <c r="G328">
        <v>1</v>
      </c>
      <c r="H328" t="s">
        <v>581</v>
      </c>
    </row>
    <row r="329" spans="1:8" x14ac:dyDescent="0.3">
      <c r="A329" t="s">
        <v>58</v>
      </c>
      <c r="B329" t="s">
        <v>8</v>
      </c>
      <c r="C329" t="s">
        <v>582</v>
      </c>
      <c r="D329" t="s">
        <v>12</v>
      </c>
      <c r="E329" t="s">
        <v>10</v>
      </c>
      <c r="F329" t="s">
        <v>13</v>
      </c>
      <c r="G329">
        <v>1</v>
      </c>
      <c r="H329" t="s">
        <v>583</v>
      </c>
    </row>
    <row r="330" spans="1:8" x14ac:dyDescent="0.3">
      <c r="A330" t="s">
        <v>27</v>
      </c>
      <c r="B330" t="s">
        <v>8</v>
      </c>
      <c r="C330" t="s">
        <v>584</v>
      </c>
      <c r="D330" t="s">
        <v>12</v>
      </c>
      <c r="E330" t="s">
        <v>15</v>
      </c>
      <c r="F330" t="s">
        <v>13</v>
      </c>
      <c r="G330">
        <v>1</v>
      </c>
      <c r="H330" t="s">
        <v>431</v>
      </c>
    </row>
    <row r="331" spans="1:8" x14ac:dyDescent="0.3">
      <c r="A331" t="s">
        <v>36</v>
      </c>
      <c r="B331" t="s">
        <v>8</v>
      </c>
      <c r="C331" t="s">
        <v>585</v>
      </c>
      <c r="D331" t="s">
        <v>18</v>
      </c>
      <c r="E331" t="s">
        <v>10</v>
      </c>
      <c r="F331" t="s">
        <v>11</v>
      </c>
      <c r="G331">
        <v>2</v>
      </c>
      <c r="H331" t="s">
        <v>586</v>
      </c>
    </row>
    <row r="332" spans="1:8" x14ac:dyDescent="0.3">
      <c r="A332" t="s">
        <v>30</v>
      </c>
      <c r="B332" t="s">
        <v>8</v>
      </c>
      <c r="C332" t="s">
        <v>587</v>
      </c>
      <c r="D332" t="s">
        <v>12</v>
      </c>
      <c r="E332" t="s">
        <v>10</v>
      </c>
      <c r="F332" t="s">
        <v>13</v>
      </c>
      <c r="G332">
        <v>2</v>
      </c>
      <c r="H332" t="s">
        <v>457</v>
      </c>
    </row>
    <row r="333" spans="1:8" x14ac:dyDescent="0.3">
      <c r="A333" t="s">
        <v>27</v>
      </c>
      <c r="B333" t="s">
        <v>8</v>
      </c>
      <c r="C333" t="s">
        <v>588</v>
      </c>
      <c r="D333" t="s">
        <v>9</v>
      </c>
      <c r="E333" t="s">
        <v>10</v>
      </c>
      <c r="F333" t="s">
        <v>11</v>
      </c>
      <c r="G333">
        <v>1</v>
      </c>
      <c r="H333" t="s">
        <v>589</v>
      </c>
    </row>
    <row r="334" spans="1:8" x14ac:dyDescent="0.3">
      <c r="A334" t="s">
        <v>112</v>
      </c>
      <c r="B334" t="s">
        <v>8</v>
      </c>
      <c r="C334" t="s">
        <v>590</v>
      </c>
      <c r="D334" t="s">
        <v>12</v>
      </c>
      <c r="E334" t="s">
        <v>10</v>
      </c>
      <c r="F334" t="s">
        <v>13</v>
      </c>
      <c r="G334">
        <v>1</v>
      </c>
      <c r="H334" t="s">
        <v>591</v>
      </c>
    </row>
    <row r="335" spans="1:8" x14ac:dyDescent="0.3">
      <c r="A335" t="s">
        <v>33</v>
      </c>
      <c r="B335" t="s">
        <v>8</v>
      </c>
      <c r="C335" t="s">
        <v>592</v>
      </c>
      <c r="D335" t="s">
        <v>12</v>
      </c>
      <c r="E335" t="s">
        <v>10</v>
      </c>
      <c r="F335" t="s">
        <v>13</v>
      </c>
      <c r="G335">
        <v>2</v>
      </c>
      <c r="H335" t="s">
        <v>593</v>
      </c>
    </row>
    <row r="336" spans="1:8" x14ac:dyDescent="0.3">
      <c r="A336" t="s">
        <v>36</v>
      </c>
      <c r="B336" t="s">
        <v>8</v>
      </c>
      <c r="C336" t="s">
        <v>506</v>
      </c>
      <c r="D336" t="s">
        <v>14</v>
      </c>
      <c r="E336" t="s">
        <v>10</v>
      </c>
      <c r="F336" t="s">
        <v>13</v>
      </c>
      <c r="G336">
        <v>4</v>
      </c>
      <c r="H336" t="s">
        <v>256</v>
      </c>
    </row>
    <row r="337" spans="1:8" x14ac:dyDescent="0.3">
      <c r="A337" t="s">
        <v>112</v>
      </c>
      <c r="B337" t="s">
        <v>8</v>
      </c>
      <c r="C337" t="s">
        <v>594</v>
      </c>
      <c r="D337" t="s">
        <v>12</v>
      </c>
      <c r="E337" t="s">
        <v>10</v>
      </c>
      <c r="F337" t="s">
        <v>13</v>
      </c>
      <c r="G337">
        <v>1</v>
      </c>
      <c r="H337" t="s">
        <v>503</v>
      </c>
    </row>
    <row r="338" spans="1:8" x14ac:dyDescent="0.3">
      <c r="A338" t="s">
        <v>30</v>
      </c>
      <c r="B338" t="s">
        <v>8</v>
      </c>
      <c r="C338" t="s">
        <v>595</v>
      </c>
      <c r="D338" t="s">
        <v>14</v>
      </c>
      <c r="E338" t="s">
        <v>10</v>
      </c>
      <c r="F338" t="s">
        <v>13</v>
      </c>
      <c r="G338">
        <v>1</v>
      </c>
      <c r="H338" t="s">
        <v>596</v>
      </c>
    </row>
    <row r="339" spans="1:8" x14ac:dyDescent="0.3">
      <c r="A339" t="s">
        <v>30</v>
      </c>
      <c r="B339" t="s">
        <v>8</v>
      </c>
      <c r="C339" t="s">
        <v>597</v>
      </c>
      <c r="D339" t="s">
        <v>9</v>
      </c>
      <c r="E339" t="s">
        <v>10</v>
      </c>
      <c r="F339" t="s">
        <v>11</v>
      </c>
      <c r="G339">
        <v>2</v>
      </c>
      <c r="H339" t="s">
        <v>451</v>
      </c>
    </row>
    <row r="340" spans="1:8" x14ac:dyDescent="0.3">
      <c r="A340" t="s">
        <v>27</v>
      </c>
      <c r="B340" t="s">
        <v>8</v>
      </c>
      <c r="C340" t="s">
        <v>598</v>
      </c>
      <c r="D340" t="s">
        <v>14</v>
      </c>
      <c r="E340" t="s">
        <v>10</v>
      </c>
      <c r="F340" t="s">
        <v>13</v>
      </c>
      <c r="G340">
        <v>2</v>
      </c>
      <c r="H340" t="s">
        <v>599</v>
      </c>
    </row>
    <row r="341" spans="1:8" x14ac:dyDescent="0.3">
      <c r="A341" t="s">
        <v>53</v>
      </c>
      <c r="B341" t="s">
        <v>8</v>
      </c>
      <c r="C341" t="s">
        <v>600</v>
      </c>
      <c r="D341" t="s">
        <v>12</v>
      </c>
      <c r="E341" t="s">
        <v>10</v>
      </c>
      <c r="F341" t="s">
        <v>13</v>
      </c>
      <c r="G341">
        <v>2</v>
      </c>
      <c r="H341" t="s">
        <v>256</v>
      </c>
    </row>
    <row r="342" spans="1:8" x14ac:dyDescent="0.3">
      <c r="A342" t="s">
        <v>53</v>
      </c>
      <c r="B342" t="s">
        <v>8</v>
      </c>
      <c r="C342" t="s">
        <v>195</v>
      </c>
      <c r="D342" t="s">
        <v>14</v>
      </c>
      <c r="E342" t="s">
        <v>10</v>
      </c>
      <c r="F342" t="s">
        <v>13</v>
      </c>
      <c r="G342">
        <v>1</v>
      </c>
      <c r="H342" t="s">
        <v>601</v>
      </c>
    </row>
    <row r="343" spans="1:8" x14ac:dyDescent="0.3">
      <c r="A343" t="s">
        <v>33</v>
      </c>
      <c r="B343" t="s">
        <v>8</v>
      </c>
      <c r="C343" t="s">
        <v>602</v>
      </c>
      <c r="D343" t="s">
        <v>14</v>
      </c>
      <c r="E343" t="s">
        <v>10</v>
      </c>
      <c r="F343" t="s">
        <v>13</v>
      </c>
      <c r="G343">
        <v>2</v>
      </c>
      <c r="H343" t="s">
        <v>603</v>
      </c>
    </row>
    <row r="344" spans="1:8" x14ac:dyDescent="0.3">
      <c r="A344" t="s">
        <v>33</v>
      </c>
      <c r="B344" t="s">
        <v>8</v>
      </c>
      <c r="C344" t="s">
        <v>604</v>
      </c>
      <c r="D344" t="s">
        <v>14</v>
      </c>
      <c r="E344" t="s">
        <v>10</v>
      </c>
      <c r="F344" t="s">
        <v>13</v>
      </c>
      <c r="G344">
        <v>2</v>
      </c>
      <c r="H344" t="s">
        <v>57</v>
      </c>
    </row>
    <row r="345" spans="1:8" x14ac:dyDescent="0.3">
      <c r="A345" t="s">
        <v>33</v>
      </c>
      <c r="B345" t="s">
        <v>8</v>
      </c>
      <c r="C345" t="s">
        <v>139</v>
      </c>
      <c r="D345" t="s">
        <v>14</v>
      </c>
      <c r="E345" t="s">
        <v>10</v>
      </c>
      <c r="F345" t="s">
        <v>13</v>
      </c>
      <c r="G345">
        <v>1</v>
      </c>
      <c r="H345" t="s">
        <v>279</v>
      </c>
    </row>
    <row r="346" spans="1:8" x14ac:dyDescent="0.3">
      <c r="A346" t="s">
        <v>58</v>
      </c>
      <c r="B346" t="s">
        <v>8</v>
      </c>
      <c r="C346" t="s">
        <v>605</v>
      </c>
      <c r="D346" t="s">
        <v>12</v>
      </c>
      <c r="E346" t="s">
        <v>15</v>
      </c>
      <c r="F346" t="s">
        <v>13</v>
      </c>
      <c r="G346">
        <v>1</v>
      </c>
      <c r="H346" t="s">
        <v>606</v>
      </c>
    </row>
    <row r="347" spans="1:8" x14ac:dyDescent="0.3">
      <c r="A347" t="s">
        <v>58</v>
      </c>
      <c r="B347" t="s">
        <v>8</v>
      </c>
      <c r="C347" t="s">
        <v>607</v>
      </c>
      <c r="D347" t="s">
        <v>12</v>
      </c>
      <c r="E347" t="s">
        <v>15</v>
      </c>
      <c r="F347" t="s">
        <v>13</v>
      </c>
      <c r="G347">
        <v>1</v>
      </c>
      <c r="H347" t="s">
        <v>608</v>
      </c>
    </row>
    <row r="348" spans="1:8" x14ac:dyDescent="0.3">
      <c r="A348" t="s">
        <v>273</v>
      </c>
      <c r="B348" t="s">
        <v>8</v>
      </c>
      <c r="C348" t="s">
        <v>279</v>
      </c>
      <c r="D348" t="s">
        <v>12</v>
      </c>
      <c r="E348" t="s">
        <v>10</v>
      </c>
      <c r="F348" t="s">
        <v>13</v>
      </c>
      <c r="G348">
        <v>1</v>
      </c>
      <c r="H348" t="s">
        <v>609</v>
      </c>
    </row>
    <row r="349" spans="1:8" x14ac:dyDescent="0.3">
      <c r="A349" t="s">
        <v>53</v>
      </c>
      <c r="B349" t="s">
        <v>8</v>
      </c>
      <c r="C349" t="s">
        <v>610</v>
      </c>
      <c r="D349" t="s">
        <v>14</v>
      </c>
      <c r="E349" t="s">
        <v>10</v>
      </c>
      <c r="F349" t="s">
        <v>13</v>
      </c>
      <c r="G349">
        <v>3</v>
      </c>
      <c r="H349" t="s">
        <v>611</v>
      </c>
    </row>
    <row r="350" spans="1:8" x14ac:dyDescent="0.3">
      <c r="A350" t="s">
        <v>58</v>
      </c>
      <c r="B350" t="s">
        <v>8</v>
      </c>
      <c r="C350" t="s">
        <v>612</v>
      </c>
      <c r="D350" t="s">
        <v>17</v>
      </c>
      <c r="E350" t="s">
        <v>10</v>
      </c>
      <c r="F350" t="s">
        <v>13</v>
      </c>
      <c r="G350">
        <v>3</v>
      </c>
      <c r="H350" t="s">
        <v>613</v>
      </c>
    </row>
    <row r="351" spans="1:8" x14ac:dyDescent="0.3">
      <c r="A351" t="s">
        <v>33</v>
      </c>
      <c r="B351" t="s">
        <v>8</v>
      </c>
      <c r="C351" t="s">
        <v>614</v>
      </c>
      <c r="D351" t="s">
        <v>9</v>
      </c>
      <c r="E351" t="s">
        <v>10</v>
      </c>
      <c r="F351" t="s">
        <v>11</v>
      </c>
      <c r="G351">
        <v>2</v>
      </c>
      <c r="H351" t="s">
        <v>615</v>
      </c>
    </row>
    <row r="352" spans="1:8" x14ac:dyDescent="0.3">
      <c r="A352" t="s">
        <v>112</v>
      </c>
      <c r="B352" t="s">
        <v>8</v>
      </c>
      <c r="C352" t="s">
        <v>616</v>
      </c>
      <c r="D352" t="s">
        <v>12</v>
      </c>
      <c r="E352" t="s">
        <v>10</v>
      </c>
      <c r="F352" t="s">
        <v>13</v>
      </c>
      <c r="G352">
        <v>1</v>
      </c>
      <c r="H352" t="s">
        <v>240</v>
      </c>
    </row>
    <row r="353" spans="1:8" x14ac:dyDescent="0.3">
      <c r="A353" t="s">
        <v>273</v>
      </c>
      <c r="B353" t="s">
        <v>8</v>
      </c>
      <c r="C353" t="s">
        <v>617</v>
      </c>
      <c r="D353" t="s">
        <v>17</v>
      </c>
      <c r="E353" t="s">
        <v>15</v>
      </c>
      <c r="F353" t="s">
        <v>13</v>
      </c>
      <c r="G353">
        <v>1</v>
      </c>
      <c r="H353" t="s">
        <v>618</v>
      </c>
    </row>
    <row r="354" spans="1:8" x14ac:dyDescent="0.3">
      <c r="A354" t="s">
        <v>372</v>
      </c>
      <c r="B354" t="s">
        <v>8</v>
      </c>
      <c r="C354" t="s">
        <v>619</v>
      </c>
      <c r="D354" t="s">
        <v>17</v>
      </c>
      <c r="E354" t="s">
        <v>15</v>
      </c>
      <c r="F354" t="s">
        <v>13</v>
      </c>
      <c r="G354">
        <v>1</v>
      </c>
      <c r="H354" t="s">
        <v>517</v>
      </c>
    </row>
    <row r="355" spans="1:8" x14ac:dyDescent="0.3">
      <c r="A355" t="s">
        <v>53</v>
      </c>
      <c r="B355" t="s">
        <v>8</v>
      </c>
      <c r="C355" t="s">
        <v>620</v>
      </c>
      <c r="D355" t="s">
        <v>12</v>
      </c>
      <c r="E355" t="s">
        <v>15</v>
      </c>
      <c r="F355" t="s">
        <v>13</v>
      </c>
      <c r="G355">
        <v>2</v>
      </c>
      <c r="H355" t="s">
        <v>621</v>
      </c>
    </row>
    <row r="356" spans="1:8" x14ac:dyDescent="0.3">
      <c r="A356" t="s">
        <v>372</v>
      </c>
      <c r="B356" t="s">
        <v>8</v>
      </c>
      <c r="C356" t="s">
        <v>116</v>
      </c>
      <c r="D356" t="s">
        <v>12</v>
      </c>
      <c r="E356" t="s">
        <v>15</v>
      </c>
      <c r="F356" t="s">
        <v>13</v>
      </c>
      <c r="G356">
        <v>1</v>
      </c>
      <c r="H356" t="s">
        <v>488</v>
      </c>
    </row>
    <row r="357" spans="1:8" x14ac:dyDescent="0.3">
      <c r="A357" t="s">
        <v>372</v>
      </c>
      <c r="B357" t="s">
        <v>8</v>
      </c>
      <c r="C357" t="s">
        <v>622</v>
      </c>
      <c r="D357" t="s">
        <v>12</v>
      </c>
      <c r="E357" t="s">
        <v>10</v>
      </c>
      <c r="F357" t="s">
        <v>13</v>
      </c>
      <c r="G357">
        <v>1</v>
      </c>
      <c r="H357" t="s">
        <v>246</v>
      </c>
    </row>
    <row r="358" spans="1:8" x14ac:dyDescent="0.3">
      <c r="A358" t="s">
        <v>27</v>
      </c>
      <c r="B358" t="s">
        <v>8</v>
      </c>
      <c r="C358" t="s">
        <v>623</v>
      </c>
      <c r="D358" t="s">
        <v>14</v>
      </c>
      <c r="E358" t="s">
        <v>15</v>
      </c>
      <c r="F358" t="s">
        <v>13</v>
      </c>
      <c r="G358">
        <v>3</v>
      </c>
      <c r="H358" t="s">
        <v>624</v>
      </c>
    </row>
    <row r="359" spans="1:8" x14ac:dyDescent="0.3">
      <c r="A359" t="s">
        <v>58</v>
      </c>
      <c r="B359" t="s">
        <v>8</v>
      </c>
      <c r="C359" t="s">
        <v>625</v>
      </c>
      <c r="D359" t="s">
        <v>12</v>
      </c>
      <c r="E359" t="s">
        <v>10</v>
      </c>
      <c r="F359" t="s">
        <v>13</v>
      </c>
      <c r="G359">
        <v>1</v>
      </c>
      <c r="H359" t="s">
        <v>344</v>
      </c>
    </row>
    <row r="360" spans="1:8" x14ac:dyDescent="0.3">
      <c r="A360" t="s">
        <v>112</v>
      </c>
      <c r="B360" t="s">
        <v>8</v>
      </c>
      <c r="C360" t="s">
        <v>626</v>
      </c>
      <c r="D360" t="s">
        <v>12</v>
      </c>
      <c r="E360" t="s">
        <v>10</v>
      </c>
      <c r="F360" t="s">
        <v>13</v>
      </c>
      <c r="G360">
        <v>1</v>
      </c>
      <c r="H360" t="s">
        <v>170</v>
      </c>
    </row>
    <row r="361" spans="1:8" x14ac:dyDescent="0.3">
      <c r="A361" t="s">
        <v>33</v>
      </c>
      <c r="B361" t="s">
        <v>8</v>
      </c>
      <c r="C361" t="s">
        <v>627</v>
      </c>
      <c r="D361" t="s">
        <v>14</v>
      </c>
      <c r="E361" t="s">
        <v>10</v>
      </c>
      <c r="F361" t="s">
        <v>13</v>
      </c>
      <c r="G361">
        <v>2</v>
      </c>
      <c r="H361" t="s">
        <v>628</v>
      </c>
    </row>
    <row r="362" spans="1:8" x14ac:dyDescent="0.3">
      <c r="A362" t="s">
        <v>27</v>
      </c>
      <c r="B362" t="s">
        <v>8</v>
      </c>
      <c r="C362" t="s">
        <v>629</v>
      </c>
      <c r="D362" t="s">
        <v>14</v>
      </c>
      <c r="E362" t="s">
        <v>15</v>
      </c>
      <c r="F362" t="s">
        <v>13</v>
      </c>
      <c r="G362">
        <v>1</v>
      </c>
      <c r="H362" t="s">
        <v>630</v>
      </c>
    </row>
    <row r="363" spans="1:8" x14ac:dyDescent="0.3">
      <c r="A363" t="s">
        <v>33</v>
      </c>
      <c r="B363" t="s">
        <v>8</v>
      </c>
      <c r="C363" t="s">
        <v>249</v>
      </c>
      <c r="D363" t="s">
        <v>9</v>
      </c>
      <c r="E363" t="s">
        <v>10</v>
      </c>
      <c r="F363" t="s">
        <v>11</v>
      </c>
      <c r="G363">
        <v>1</v>
      </c>
      <c r="H363" t="s">
        <v>433</v>
      </c>
    </row>
    <row r="364" spans="1:8" x14ac:dyDescent="0.3">
      <c r="A364" t="s">
        <v>36</v>
      </c>
      <c r="B364" t="s">
        <v>8</v>
      </c>
      <c r="C364" t="s">
        <v>631</v>
      </c>
      <c r="D364" t="s">
        <v>14</v>
      </c>
      <c r="E364" t="s">
        <v>10</v>
      </c>
      <c r="F364" t="s">
        <v>13</v>
      </c>
      <c r="G364">
        <v>3</v>
      </c>
      <c r="H364" t="s">
        <v>632</v>
      </c>
    </row>
    <row r="365" spans="1:8" x14ac:dyDescent="0.3">
      <c r="A365" t="s">
        <v>33</v>
      </c>
      <c r="B365" t="s">
        <v>8</v>
      </c>
      <c r="C365" t="s">
        <v>633</v>
      </c>
      <c r="D365" t="s">
        <v>14</v>
      </c>
      <c r="E365" t="s">
        <v>10</v>
      </c>
      <c r="F365" t="s">
        <v>13</v>
      </c>
      <c r="G365">
        <v>4</v>
      </c>
      <c r="H365" t="s">
        <v>469</v>
      </c>
    </row>
    <row r="366" spans="1:8" x14ac:dyDescent="0.3">
      <c r="A366" t="s">
        <v>112</v>
      </c>
      <c r="B366" t="s">
        <v>8</v>
      </c>
      <c r="C366" t="s">
        <v>634</v>
      </c>
      <c r="D366" t="s">
        <v>12</v>
      </c>
      <c r="E366" t="s">
        <v>10</v>
      </c>
      <c r="F366" t="s">
        <v>13</v>
      </c>
      <c r="G366">
        <v>1</v>
      </c>
      <c r="H366" t="s">
        <v>630</v>
      </c>
    </row>
    <row r="367" spans="1:8" x14ac:dyDescent="0.3">
      <c r="A367" t="s">
        <v>33</v>
      </c>
      <c r="B367" t="s">
        <v>8</v>
      </c>
      <c r="C367" t="s">
        <v>635</v>
      </c>
      <c r="D367" t="s">
        <v>14</v>
      </c>
      <c r="E367" t="s">
        <v>10</v>
      </c>
      <c r="F367" t="s">
        <v>13</v>
      </c>
      <c r="G367">
        <v>3</v>
      </c>
      <c r="H367" t="s">
        <v>244</v>
      </c>
    </row>
    <row r="368" spans="1:8" x14ac:dyDescent="0.3">
      <c r="A368" t="s">
        <v>27</v>
      </c>
      <c r="B368" t="s">
        <v>8</v>
      </c>
      <c r="C368" t="s">
        <v>636</v>
      </c>
      <c r="D368" t="s">
        <v>14</v>
      </c>
      <c r="E368" t="s">
        <v>15</v>
      </c>
      <c r="F368" t="s">
        <v>13</v>
      </c>
      <c r="G368">
        <v>2</v>
      </c>
      <c r="H368" t="s">
        <v>374</v>
      </c>
    </row>
    <row r="369" spans="1:8" x14ac:dyDescent="0.3">
      <c r="A369" t="s">
        <v>58</v>
      </c>
      <c r="B369" t="s">
        <v>8</v>
      </c>
      <c r="C369" t="s">
        <v>637</v>
      </c>
      <c r="D369" t="s">
        <v>12</v>
      </c>
      <c r="E369" t="s">
        <v>15</v>
      </c>
      <c r="F369" t="s">
        <v>13</v>
      </c>
      <c r="G369">
        <v>1</v>
      </c>
      <c r="H369" t="s">
        <v>638</v>
      </c>
    </row>
    <row r="370" spans="1:8" x14ac:dyDescent="0.3">
      <c r="A370" t="s">
        <v>27</v>
      </c>
      <c r="B370" t="s">
        <v>8</v>
      </c>
      <c r="C370" t="s">
        <v>639</v>
      </c>
      <c r="D370" t="s">
        <v>12</v>
      </c>
      <c r="E370" t="s">
        <v>10</v>
      </c>
      <c r="F370" t="s">
        <v>13</v>
      </c>
      <c r="G370">
        <v>1</v>
      </c>
      <c r="H370" t="s">
        <v>277</v>
      </c>
    </row>
    <row r="371" spans="1:8" x14ac:dyDescent="0.3">
      <c r="A371" t="s">
        <v>58</v>
      </c>
      <c r="B371" t="s">
        <v>8</v>
      </c>
      <c r="C371" t="s">
        <v>640</v>
      </c>
      <c r="D371" t="s">
        <v>12</v>
      </c>
      <c r="E371" t="s">
        <v>10</v>
      </c>
      <c r="F371" t="s">
        <v>13</v>
      </c>
      <c r="G371">
        <v>1</v>
      </c>
      <c r="H371" t="s">
        <v>641</v>
      </c>
    </row>
    <row r="372" spans="1:8" x14ac:dyDescent="0.3">
      <c r="A372" t="s">
        <v>33</v>
      </c>
      <c r="B372" t="s">
        <v>8</v>
      </c>
      <c r="C372" t="s">
        <v>642</v>
      </c>
      <c r="D372" t="s">
        <v>14</v>
      </c>
      <c r="E372" t="s">
        <v>15</v>
      </c>
      <c r="F372" t="s">
        <v>13</v>
      </c>
      <c r="G372">
        <v>4</v>
      </c>
      <c r="H372" t="s">
        <v>643</v>
      </c>
    </row>
    <row r="373" spans="1:8" x14ac:dyDescent="0.3">
      <c r="A373" t="s">
        <v>27</v>
      </c>
      <c r="B373" t="s">
        <v>8</v>
      </c>
      <c r="C373" t="s">
        <v>644</v>
      </c>
      <c r="D373" t="s">
        <v>14</v>
      </c>
      <c r="E373" t="s">
        <v>10</v>
      </c>
      <c r="F373" t="s">
        <v>13</v>
      </c>
      <c r="G373">
        <v>1</v>
      </c>
      <c r="H373" t="s">
        <v>645</v>
      </c>
    </row>
    <row r="374" spans="1:8" x14ac:dyDescent="0.3">
      <c r="A374" t="s">
        <v>53</v>
      </c>
      <c r="B374" t="s">
        <v>8</v>
      </c>
      <c r="C374" t="s">
        <v>646</v>
      </c>
      <c r="D374" t="s">
        <v>12</v>
      </c>
      <c r="E374" t="s">
        <v>10</v>
      </c>
      <c r="F374" t="s">
        <v>13</v>
      </c>
      <c r="G374">
        <v>1</v>
      </c>
      <c r="H374" t="s">
        <v>647</v>
      </c>
    </row>
    <row r="375" spans="1:8" x14ac:dyDescent="0.3">
      <c r="A375" t="s">
        <v>112</v>
      </c>
      <c r="B375" t="s">
        <v>8</v>
      </c>
      <c r="C375" t="s">
        <v>648</v>
      </c>
      <c r="D375" t="s">
        <v>12</v>
      </c>
      <c r="E375" t="s">
        <v>15</v>
      </c>
      <c r="F375" t="s">
        <v>13</v>
      </c>
      <c r="G375">
        <v>1</v>
      </c>
      <c r="H375" t="s">
        <v>246</v>
      </c>
    </row>
    <row r="376" spans="1:8" x14ac:dyDescent="0.3">
      <c r="A376" t="s">
        <v>33</v>
      </c>
      <c r="B376" t="s">
        <v>8</v>
      </c>
      <c r="C376" t="s">
        <v>649</v>
      </c>
      <c r="D376" t="s">
        <v>12</v>
      </c>
      <c r="E376" t="s">
        <v>10</v>
      </c>
      <c r="F376" t="s">
        <v>13</v>
      </c>
      <c r="G376">
        <v>2</v>
      </c>
      <c r="H376" t="s">
        <v>221</v>
      </c>
    </row>
    <row r="377" spans="1:8" x14ac:dyDescent="0.3">
      <c r="A377" t="s">
        <v>58</v>
      </c>
      <c r="B377" t="s">
        <v>8</v>
      </c>
      <c r="C377" t="s">
        <v>650</v>
      </c>
      <c r="D377" t="s">
        <v>12</v>
      </c>
      <c r="E377" t="s">
        <v>10</v>
      </c>
      <c r="F377" t="s">
        <v>13</v>
      </c>
      <c r="G377">
        <v>1</v>
      </c>
      <c r="H377" t="s">
        <v>651</v>
      </c>
    </row>
    <row r="378" spans="1:8" x14ac:dyDescent="0.3">
      <c r="A378" t="s">
        <v>112</v>
      </c>
      <c r="B378" t="s">
        <v>8</v>
      </c>
      <c r="C378" t="s">
        <v>652</v>
      </c>
      <c r="D378" t="s">
        <v>12</v>
      </c>
      <c r="E378" t="s">
        <v>10</v>
      </c>
      <c r="F378" t="s">
        <v>13</v>
      </c>
      <c r="G378">
        <v>1</v>
      </c>
      <c r="H378" t="s">
        <v>653</v>
      </c>
    </row>
    <row r="379" spans="1:8" x14ac:dyDescent="0.3">
      <c r="A379" t="s">
        <v>33</v>
      </c>
      <c r="B379" t="s">
        <v>8</v>
      </c>
      <c r="C379" t="s">
        <v>654</v>
      </c>
      <c r="D379" t="s">
        <v>14</v>
      </c>
      <c r="E379" t="s">
        <v>15</v>
      </c>
      <c r="F379" t="s">
        <v>13</v>
      </c>
      <c r="G379">
        <v>2</v>
      </c>
      <c r="H379" t="s">
        <v>76</v>
      </c>
    </row>
    <row r="380" spans="1:8" x14ac:dyDescent="0.3">
      <c r="A380" t="s">
        <v>33</v>
      </c>
      <c r="B380" t="s">
        <v>8</v>
      </c>
      <c r="C380" t="s">
        <v>655</v>
      </c>
      <c r="D380" t="s">
        <v>9</v>
      </c>
      <c r="E380" t="s">
        <v>10</v>
      </c>
      <c r="F380" t="s">
        <v>11</v>
      </c>
      <c r="G380">
        <v>1</v>
      </c>
      <c r="H380" t="s">
        <v>656</v>
      </c>
    </row>
    <row r="381" spans="1:8" x14ac:dyDescent="0.3">
      <c r="A381" t="s">
        <v>36</v>
      </c>
      <c r="B381" t="s">
        <v>8</v>
      </c>
      <c r="C381" t="s">
        <v>657</v>
      </c>
      <c r="D381" t="s">
        <v>14</v>
      </c>
      <c r="E381" t="s">
        <v>15</v>
      </c>
      <c r="F381" t="s">
        <v>13</v>
      </c>
      <c r="G381">
        <v>3</v>
      </c>
      <c r="H381" t="s">
        <v>658</v>
      </c>
    </row>
    <row r="382" spans="1:8" x14ac:dyDescent="0.3">
      <c r="A382" t="s">
        <v>36</v>
      </c>
      <c r="B382" t="s">
        <v>8</v>
      </c>
      <c r="C382" t="s">
        <v>468</v>
      </c>
      <c r="D382" t="s">
        <v>14</v>
      </c>
      <c r="E382" t="s">
        <v>10</v>
      </c>
      <c r="F382" t="s">
        <v>13</v>
      </c>
      <c r="G382">
        <v>2</v>
      </c>
      <c r="H382" t="s">
        <v>191</v>
      </c>
    </row>
    <row r="383" spans="1:8" x14ac:dyDescent="0.3">
      <c r="A383" t="s">
        <v>30</v>
      </c>
      <c r="B383" t="s">
        <v>8</v>
      </c>
      <c r="C383" t="s">
        <v>659</v>
      </c>
      <c r="D383" t="s">
        <v>14</v>
      </c>
      <c r="E383" t="s">
        <v>10</v>
      </c>
      <c r="F383" t="s">
        <v>13</v>
      </c>
      <c r="G383">
        <v>2</v>
      </c>
      <c r="H383" t="s">
        <v>660</v>
      </c>
    </row>
    <row r="384" spans="1:8" x14ac:dyDescent="0.3">
      <c r="A384" t="s">
        <v>112</v>
      </c>
      <c r="B384" t="s">
        <v>8</v>
      </c>
      <c r="C384" t="s">
        <v>661</v>
      </c>
      <c r="D384" t="s">
        <v>12</v>
      </c>
      <c r="E384" t="s">
        <v>10</v>
      </c>
      <c r="F384" t="s">
        <v>13</v>
      </c>
      <c r="G384">
        <v>1</v>
      </c>
      <c r="H384" t="s">
        <v>558</v>
      </c>
    </row>
    <row r="385" spans="1:8" x14ac:dyDescent="0.3">
      <c r="A385" t="s">
        <v>112</v>
      </c>
      <c r="B385" t="s">
        <v>8</v>
      </c>
      <c r="C385" t="s">
        <v>662</v>
      </c>
      <c r="D385" t="s">
        <v>12</v>
      </c>
      <c r="E385" t="s">
        <v>10</v>
      </c>
      <c r="F385" t="s">
        <v>13</v>
      </c>
      <c r="G385">
        <v>1</v>
      </c>
      <c r="H385" t="s">
        <v>663</v>
      </c>
    </row>
    <row r="386" spans="1:8" x14ac:dyDescent="0.3">
      <c r="A386" t="s">
        <v>53</v>
      </c>
      <c r="B386" t="s">
        <v>8</v>
      </c>
      <c r="C386" t="s">
        <v>664</v>
      </c>
      <c r="D386" t="s">
        <v>14</v>
      </c>
      <c r="E386" t="s">
        <v>10</v>
      </c>
      <c r="F386" t="s">
        <v>13</v>
      </c>
      <c r="G386">
        <v>2</v>
      </c>
      <c r="H386" t="s">
        <v>227</v>
      </c>
    </row>
    <row r="387" spans="1:8" x14ac:dyDescent="0.3">
      <c r="A387" t="s">
        <v>30</v>
      </c>
      <c r="B387" t="s">
        <v>8</v>
      </c>
      <c r="C387" t="s">
        <v>665</v>
      </c>
      <c r="D387" t="s">
        <v>12</v>
      </c>
      <c r="E387" t="s">
        <v>10</v>
      </c>
      <c r="F387" t="s">
        <v>13</v>
      </c>
      <c r="G387">
        <v>2</v>
      </c>
      <c r="H387" t="s">
        <v>57</v>
      </c>
    </row>
    <row r="388" spans="1:8" x14ac:dyDescent="0.3">
      <c r="A388" t="s">
        <v>27</v>
      </c>
      <c r="B388" t="s">
        <v>8</v>
      </c>
      <c r="C388" t="s">
        <v>666</v>
      </c>
      <c r="D388" t="s">
        <v>12</v>
      </c>
      <c r="E388" t="s">
        <v>10</v>
      </c>
      <c r="F388" t="s">
        <v>13</v>
      </c>
      <c r="G388">
        <v>1</v>
      </c>
      <c r="H388" t="s">
        <v>667</v>
      </c>
    </row>
    <row r="389" spans="1:8" x14ac:dyDescent="0.3">
      <c r="A389" t="s">
        <v>372</v>
      </c>
      <c r="B389" t="s">
        <v>8</v>
      </c>
      <c r="C389" t="s">
        <v>668</v>
      </c>
      <c r="D389" t="s">
        <v>12</v>
      </c>
      <c r="E389" t="s">
        <v>15</v>
      </c>
      <c r="F389" t="s">
        <v>13</v>
      </c>
      <c r="G389">
        <v>1</v>
      </c>
      <c r="H389" t="s">
        <v>669</v>
      </c>
    </row>
    <row r="390" spans="1:8" x14ac:dyDescent="0.3">
      <c r="A390" t="s">
        <v>112</v>
      </c>
      <c r="B390" t="s">
        <v>8</v>
      </c>
      <c r="C390" t="s">
        <v>434</v>
      </c>
      <c r="D390" t="s">
        <v>12</v>
      </c>
      <c r="E390" t="s">
        <v>10</v>
      </c>
      <c r="F390" t="s">
        <v>13</v>
      </c>
      <c r="G390">
        <v>1</v>
      </c>
      <c r="H390" t="s">
        <v>670</v>
      </c>
    </row>
    <row r="391" spans="1:8" x14ac:dyDescent="0.3">
      <c r="A391" t="s">
        <v>30</v>
      </c>
      <c r="B391" t="s">
        <v>8</v>
      </c>
      <c r="C391" t="s">
        <v>671</v>
      </c>
      <c r="D391" t="s">
        <v>12</v>
      </c>
      <c r="E391" t="s">
        <v>10</v>
      </c>
      <c r="F391" t="s">
        <v>13</v>
      </c>
      <c r="G391">
        <v>3</v>
      </c>
      <c r="H391" t="s">
        <v>672</v>
      </c>
    </row>
    <row r="392" spans="1:8" x14ac:dyDescent="0.3">
      <c r="A392" t="s">
        <v>112</v>
      </c>
      <c r="B392" t="s">
        <v>8</v>
      </c>
      <c r="C392" t="s">
        <v>673</v>
      </c>
      <c r="D392" t="s">
        <v>12</v>
      </c>
      <c r="E392" t="s">
        <v>10</v>
      </c>
      <c r="F392" t="s">
        <v>13</v>
      </c>
      <c r="G392">
        <v>1</v>
      </c>
      <c r="H392" t="s">
        <v>268</v>
      </c>
    </row>
    <row r="393" spans="1:8" x14ac:dyDescent="0.3">
      <c r="A393" t="s">
        <v>58</v>
      </c>
      <c r="B393" t="s">
        <v>8</v>
      </c>
      <c r="C393" t="s">
        <v>674</v>
      </c>
      <c r="D393" t="s">
        <v>12</v>
      </c>
      <c r="E393" t="s">
        <v>10</v>
      </c>
      <c r="F393" t="s">
        <v>13</v>
      </c>
      <c r="G393">
        <v>1</v>
      </c>
      <c r="H393" t="s">
        <v>675</v>
      </c>
    </row>
    <row r="394" spans="1:8" x14ac:dyDescent="0.3">
      <c r="A394" t="s">
        <v>58</v>
      </c>
      <c r="B394" t="s">
        <v>8</v>
      </c>
      <c r="C394" t="s">
        <v>676</v>
      </c>
      <c r="D394" t="s">
        <v>12</v>
      </c>
      <c r="E394" t="s">
        <v>10</v>
      </c>
      <c r="F394" t="s">
        <v>13</v>
      </c>
      <c r="G394">
        <v>2</v>
      </c>
      <c r="H394" t="s">
        <v>114</v>
      </c>
    </row>
    <row r="395" spans="1:8" x14ac:dyDescent="0.3">
      <c r="A395" t="s">
        <v>53</v>
      </c>
      <c r="B395" t="s">
        <v>8</v>
      </c>
      <c r="C395" t="s">
        <v>677</v>
      </c>
      <c r="D395" t="s">
        <v>12</v>
      </c>
      <c r="E395" t="s">
        <v>10</v>
      </c>
      <c r="F395" t="s">
        <v>13</v>
      </c>
      <c r="G395">
        <v>2</v>
      </c>
      <c r="H395" t="s">
        <v>678</v>
      </c>
    </row>
    <row r="396" spans="1:8" x14ac:dyDescent="0.3">
      <c r="A396" t="s">
        <v>30</v>
      </c>
      <c r="B396" t="s">
        <v>8</v>
      </c>
      <c r="C396" t="s">
        <v>679</v>
      </c>
      <c r="D396" t="s">
        <v>14</v>
      </c>
      <c r="E396" t="s">
        <v>10</v>
      </c>
      <c r="F396" t="s">
        <v>13</v>
      </c>
      <c r="G396">
        <v>2</v>
      </c>
      <c r="H396" t="s">
        <v>680</v>
      </c>
    </row>
    <row r="397" spans="1:8" x14ac:dyDescent="0.3">
      <c r="A397" t="s">
        <v>36</v>
      </c>
      <c r="B397" t="s">
        <v>8</v>
      </c>
      <c r="C397" t="s">
        <v>665</v>
      </c>
      <c r="D397" t="s">
        <v>14</v>
      </c>
      <c r="E397" t="s">
        <v>10</v>
      </c>
      <c r="F397" t="s">
        <v>13</v>
      </c>
      <c r="G397">
        <v>1</v>
      </c>
      <c r="H397" t="s">
        <v>203</v>
      </c>
    </row>
    <row r="398" spans="1:8" x14ac:dyDescent="0.3">
      <c r="A398" t="s">
        <v>30</v>
      </c>
      <c r="B398" t="s">
        <v>8</v>
      </c>
      <c r="C398" t="s">
        <v>681</v>
      </c>
      <c r="D398" t="s">
        <v>14</v>
      </c>
      <c r="E398" t="s">
        <v>10</v>
      </c>
      <c r="F398" t="s">
        <v>13</v>
      </c>
      <c r="G398">
        <v>1</v>
      </c>
      <c r="H398" t="s">
        <v>682</v>
      </c>
    </row>
    <row r="399" spans="1:8" x14ac:dyDescent="0.3">
      <c r="A399" t="s">
        <v>30</v>
      </c>
      <c r="B399" t="s">
        <v>8</v>
      </c>
      <c r="C399" t="s">
        <v>683</v>
      </c>
      <c r="D399" t="s">
        <v>14</v>
      </c>
      <c r="E399" t="s">
        <v>10</v>
      </c>
      <c r="F399" t="s">
        <v>13</v>
      </c>
      <c r="G399">
        <v>1</v>
      </c>
      <c r="H399" t="s">
        <v>29</v>
      </c>
    </row>
    <row r="400" spans="1:8" x14ac:dyDescent="0.3">
      <c r="A400" t="s">
        <v>53</v>
      </c>
      <c r="B400" t="s">
        <v>8</v>
      </c>
      <c r="C400" t="s">
        <v>684</v>
      </c>
      <c r="D400" t="s">
        <v>14</v>
      </c>
      <c r="E400" t="s">
        <v>10</v>
      </c>
      <c r="F400" t="s">
        <v>13</v>
      </c>
      <c r="G400">
        <v>2</v>
      </c>
      <c r="H400" t="s">
        <v>475</v>
      </c>
    </row>
    <row r="401" spans="1:8" x14ac:dyDescent="0.3">
      <c r="A401" t="s">
        <v>58</v>
      </c>
      <c r="B401" t="s">
        <v>8</v>
      </c>
      <c r="C401" t="s">
        <v>685</v>
      </c>
      <c r="D401" t="s">
        <v>12</v>
      </c>
      <c r="E401" t="s">
        <v>10</v>
      </c>
      <c r="F401" t="s">
        <v>13</v>
      </c>
      <c r="G401">
        <v>1</v>
      </c>
      <c r="H401" t="s">
        <v>686</v>
      </c>
    </row>
    <row r="402" spans="1:8" x14ac:dyDescent="0.3">
      <c r="A402" t="s">
        <v>53</v>
      </c>
      <c r="B402" t="s">
        <v>8</v>
      </c>
      <c r="C402" t="s">
        <v>687</v>
      </c>
      <c r="D402" t="s">
        <v>9</v>
      </c>
      <c r="E402" t="s">
        <v>10</v>
      </c>
      <c r="F402" t="s">
        <v>11</v>
      </c>
      <c r="G402">
        <v>1</v>
      </c>
      <c r="H402" t="s">
        <v>457</v>
      </c>
    </row>
    <row r="403" spans="1:8" x14ac:dyDescent="0.3">
      <c r="A403" t="s">
        <v>112</v>
      </c>
      <c r="B403" t="s">
        <v>8</v>
      </c>
      <c r="C403" t="s">
        <v>688</v>
      </c>
      <c r="D403" t="s">
        <v>12</v>
      </c>
      <c r="E403" t="s">
        <v>10</v>
      </c>
      <c r="F403" t="s">
        <v>13</v>
      </c>
      <c r="G403">
        <v>1</v>
      </c>
      <c r="H403" t="s">
        <v>542</v>
      </c>
    </row>
    <row r="404" spans="1:8" x14ac:dyDescent="0.3">
      <c r="A404" t="s">
        <v>112</v>
      </c>
      <c r="B404" t="s">
        <v>8</v>
      </c>
      <c r="C404" t="s">
        <v>689</v>
      </c>
      <c r="D404" t="s">
        <v>12</v>
      </c>
      <c r="E404" t="s">
        <v>10</v>
      </c>
      <c r="F404" t="s">
        <v>13</v>
      </c>
      <c r="G404">
        <v>1</v>
      </c>
      <c r="H404" t="s">
        <v>690</v>
      </c>
    </row>
    <row r="405" spans="1:8" x14ac:dyDescent="0.3">
      <c r="A405" t="s">
        <v>58</v>
      </c>
      <c r="B405" t="s">
        <v>8</v>
      </c>
      <c r="C405" t="s">
        <v>691</v>
      </c>
      <c r="D405" t="s">
        <v>12</v>
      </c>
      <c r="E405" t="s">
        <v>10</v>
      </c>
      <c r="F405" t="s">
        <v>13</v>
      </c>
      <c r="G405">
        <v>1</v>
      </c>
      <c r="H405" t="s">
        <v>692</v>
      </c>
    </row>
    <row r="406" spans="1:8" x14ac:dyDescent="0.3">
      <c r="A406" t="s">
        <v>58</v>
      </c>
      <c r="B406" t="s">
        <v>8</v>
      </c>
      <c r="C406" t="s">
        <v>653</v>
      </c>
      <c r="D406" t="s">
        <v>17</v>
      </c>
      <c r="E406" t="s">
        <v>10</v>
      </c>
      <c r="F406" t="s">
        <v>13</v>
      </c>
      <c r="G406">
        <v>2</v>
      </c>
      <c r="H406" t="s">
        <v>693</v>
      </c>
    </row>
    <row r="407" spans="1:8" x14ac:dyDescent="0.3">
      <c r="A407" t="s">
        <v>27</v>
      </c>
      <c r="B407" t="s">
        <v>8</v>
      </c>
      <c r="C407" t="s">
        <v>694</v>
      </c>
      <c r="D407" t="s">
        <v>14</v>
      </c>
      <c r="E407" t="s">
        <v>10</v>
      </c>
      <c r="F407" t="s">
        <v>13</v>
      </c>
      <c r="G407">
        <v>2</v>
      </c>
      <c r="H407" t="s">
        <v>695</v>
      </c>
    </row>
    <row r="408" spans="1:8" x14ac:dyDescent="0.3">
      <c r="A408" t="s">
        <v>58</v>
      </c>
      <c r="B408" t="s">
        <v>8</v>
      </c>
      <c r="C408" t="s">
        <v>696</v>
      </c>
      <c r="D408" t="s">
        <v>12</v>
      </c>
      <c r="E408" t="s">
        <v>10</v>
      </c>
      <c r="F408" t="s">
        <v>13</v>
      </c>
      <c r="G408">
        <v>1</v>
      </c>
      <c r="H408" t="s">
        <v>697</v>
      </c>
    </row>
    <row r="409" spans="1:8" x14ac:dyDescent="0.3">
      <c r="A409" t="s">
        <v>273</v>
      </c>
      <c r="B409" t="s">
        <v>8</v>
      </c>
      <c r="C409" t="s">
        <v>146</v>
      </c>
      <c r="D409" t="s">
        <v>12</v>
      </c>
      <c r="E409" t="s">
        <v>10</v>
      </c>
      <c r="F409" t="s">
        <v>13</v>
      </c>
      <c r="G409">
        <v>1</v>
      </c>
      <c r="H409" t="s">
        <v>698</v>
      </c>
    </row>
    <row r="410" spans="1:8" x14ac:dyDescent="0.3">
      <c r="A410" t="s">
        <v>58</v>
      </c>
      <c r="B410" t="s">
        <v>8</v>
      </c>
      <c r="C410" t="s">
        <v>699</v>
      </c>
      <c r="D410" t="s">
        <v>17</v>
      </c>
      <c r="E410" t="s">
        <v>15</v>
      </c>
      <c r="F410" t="s">
        <v>13</v>
      </c>
      <c r="G410">
        <v>2</v>
      </c>
      <c r="H410" t="s">
        <v>292</v>
      </c>
    </row>
    <row r="411" spans="1:8" x14ac:dyDescent="0.3">
      <c r="A411" t="s">
        <v>33</v>
      </c>
      <c r="B411" t="s">
        <v>8</v>
      </c>
      <c r="C411" t="s">
        <v>700</v>
      </c>
      <c r="D411" t="s">
        <v>14</v>
      </c>
      <c r="E411" t="s">
        <v>10</v>
      </c>
      <c r="F411" t="s">
        <v>13</v>
      </c>
      <c r="G411">
        <v>3</v>
      </c>
      <c r="H411" t="s">
        <v>701</v>
      </c>
    </row>
    <row r="412" spans="1:8" x14ac:dyDescent="0.3">
      <c r="A412" t="s">
        <v>58</v>
      </c>
      <c r="B412" t="s">
        <v>8</v>
      </c>
      <c r="C412" t="s">
        <v>702</v>
      </c>
      <c r="D412" t="s">
        <v>17</v>
      </c>
      <c r="E412" t="s">
        <v>10</v>
      </c>
      <c r="F412" t="s">
        <v>13</v>
      </c>
      <c r="G412">
        <v>1</v>
      </c>
      <c r="H412" t="s">
        <v>703</v>
      </c>
    </row>
    <row r="413" spans="1:8" x14ac:dyDescent="0.3">
      <c r="A413" t="s">
        <v>27</v>
      </c>
      <c r="B413" t="s">
        <v>8</v>
      </c>
      <c r="C413" t="s">
        <v>704</v>
      </c>
      <c r="D413" t="s">
        <v>12</v>
      </c>
      <c r="E413" t="s">
        <v>10</v>
      </c>
      <c r="F413" t="s">
        <v>13</v>
      </c>
      <c r="G413">
        <v>1</v>
      </c>
      <c r="H413" t="s">
        <v>705</v>
      </c>
    </row>
    <row r="414" spans="1:8" x14ac:dyDescent="0.3">
      <c r="A414" t="s">
        <v>58</v>
      </c>
      <c r="B414" t="s">
        <v>8</v>
      </c>
      <c r="C414" t="s">
        <v>706</v>
      </c>
      <c r="D414" t="s">
        <v>12</v>
      </c>
      <c r="E414" t="s">
        <v>10</v>
      </c>
      <c r="F414" t="s">
        <v>13</v>
      </c>
      <c r="G414">
        <v>1</v>
      </c>
      <c r="H414" t="s">
        <v>189</v>
      </c>
    </row>
    <row r="415" spans="1:8" x14ac:dyDescent="0.3">
      <c r="A415" t="s">
        <v>58</v>
      </c>
      <c r="B415" t="s">
        <v>8</v>
      </c>
      <c r="C415" t="s">
        <v>707</v>
      </c>
      <c r="D415" t="s">
        <v>12</v>
      </c>
      <c r="E415" t="s">
        <v>15</v>
      </c>
      <c r="F415" t="s">
        <v>13</v>
      </c>
      <c r="G415">
        <v>2</v>
      </c>
      <c r="H415" t="s">
        <v>708</v>
      </c>
    </row>
    <row r="416" spans="1:8" x14ac:dyDescent="0.3">
      <c r="A416" t="s">
        <v>30</v>
      </c>
      <c r="B416" t="s">
        <v>8</v>
      </c>
      <c r="C416" t="s">
        <v>709</v>
      </c>
      <c r="D416" t="s">
        <v>14</v>
      </c>
      <c r="E416" t="s">
        <v>15</v>
      </c>
      <c r="F416" t="s">
        <v>13</v>
      </c>
      <c r="G416">
        <v>2</v>
      </c>
      <c r="H416" t="s">
        <v>710</v>
      </c>
    </row>
    <row r="417" spans="1:8" x14ac:dyDescent="0.3">
      <c r="A417" t="s">
        <v>36</v>
      </c>
      <c r="B417" t="s">
        <v>8</v>
      </c>
      <c r="C417" t="s">
        <v>711</v>
      </c>
      <c r="D417" t="s">
        <v>9</v>
      </c>
      <c r="E417" t="s">
        <v>10</v>
      </c>
      <c r="F417" t="s">
        <v>11</v>
      </c>
      <c r="G417">
        <v>3</v>
      </c>
      <c r="H417" t="s">
        <v>712</v>
      </c>
    </row>
    <row r="418" spans="1:8" x14ac:dyDescent="0.3">
      <c r="A418" t="s">
        <v>58</v>
      </c>
      <c r="B418" t="s">
        <v>8</v>
      </c>
      <c r="C418" t="s">
        <v>713</v>
      </c>
      <c r="D418" t="s">
        <v>12</v>
      </c>
      <c r="E418" t="s">
        <v>15</v>
      </c>
      <c r="F418" t="s">
        <v>13</v>
      </c>
      <c r="G418">
        <v>1</v>
      </c>
      <c r="H418" t="s">
        <v>714</v>
      </c>
    </row>
    <row r="419" spans="1:8" x14ac:dyDescent="0.3">
      <c r="A419" t="s">
        <v>53</v>
      </c>
      <c r="B419" t="s">
        <v>8</v>
      </c>
      <c r="C419" t="s">
        <v>715</v>
      </c>
      <c r="D419" t="s">
        <v>14</v>
      </c>
      <c r="E419" t="s">
        <v>10</v>
      </c>
      <c r="F419" t="s">
        <v>13</v>
      </c>
      <c r="G419">
        <v>1</v>
      </c>
      <c r="H419" t="s">
        <v>371</v>
      </c>
    </row>
    <row r="420" spans="1:8" x14ac:dyDescent="0.3">
      <c r="A420" t="s">
        <v>27</v>
      </c>
      <c r="B420" t="s">
        <v>8</v>
      </c>
      <c r="C420" t="s">
        <v>578</v>
      </c>
      <c r="D420" t="s">
        <v>14</v>
      </c>
      <c r="E420" t="s">
        <v>10</v>
      </c>
      <c r="F420" t="s">
        <v>13</v>
      </c>
      <c r="G420">
        <v>2</v>
      </c>
      <c r="H420" t="s">
        <v>716</v>
      </c>
    </row>
    <row r="421" spans="1:8" x14ac:dyDescent="0.3">
      <c r="A421" t="s">
        <v>36</v>
      </c>
      <c r="B421" t="s">
        <v>8</v>
      </c>
      <c r="C421" t="s">
        <v>717</v>
      </c>
      <c r="D421" t="s">
        <v>14</v>
      </c>
      <c r="E421" t="s">
        <v>15</v>
      </c>
      <c r="F421" t="s">
        <v>13</v>
      </c>
      <c r="G421">
        <v>1</v>
      </c>
      <c r="H421" t="s">
        <v>196</v>
      </c>
    </row>
    <row r="422" spans="1:8" x14ac:dyDescent="0.3">
      <c r="A422" t="s">
        <v>273</v>
      </c>
      <c r="B422" t="s">
        <v>8</v>
      </c>
      <c r="C422" t="s">
        <v>718</v>
      </c>
      <c r="D422" t="s">
        <v>12</v>
      </c>
      <c r="E422" t="s">
        <v>15</v>
      </c>
      <c r="F422" t="s">
        <v>13</v>
      </c>
      <c r="G422">
        <v>1</v>
      </c>
      <c r="H422" t="s">
        <v>719</v>
      </c>
    </row>
    <row r="423" spans="1:8" x14ac:dyDescent="0.3">
      <c r="A423" t="s">
        <v>273</v>
      </c>
      <c r="B423" t="s">
        <v>8</v>
      </c>
      <c r="C423" t="s">
        <v>720</v>
      </c>
      <c r="D423" t="s">
        <v>12</v>
      </c>
      <c r="E423" t="s">
        <v>15</v>
      </c>
      <c r="F423" t="s">
        <v>13</v>
      </c>
      <c r="G423">
        <v>1</v>
      </c>
      <c r="H423" t="s">
        <v>721</v>
      </c>
    </row>
    <row r="424" spans="1:8" x14ac:dyDescent="0.3">
      <c r="A424" t="s">
        <v>112</v>
      </c>
      <c r="B424" t="s">
        <v>8</v>
      </c>
      <c r="C424" t="s">
        <v>722</v>
      </c>
      <c r="D424" t="s">
        <v>18</v>
      </c>
      <c r="E424" t="s">
        <v>15</v>
      </c>
      <c r="F424" t="s">
        <v>13</v>
      </c>
      <c r="G424">
        <v>2</v>
      </c>
      <c r="H424" t="s">
        <v>723</v>
      </c>
    </row>
    <row r="425" spans="1:8" x14ac:dyDescent="0.3">
      <c r="A425" t="s">
        <v>30</v>
      </c>
      <c r="B425" t="s">
        <v>8</v>
      </c>
      <c r="C425" t="s">
        <v>724</v>
      </c>
      <c r="D425" t="s">
        <v>12</v>
      </c>
      <c r="E425" t="s">
        <v>10</v>
      </c>
      <c r="F425" t="s">
        <v>13</v>
      </c>
      <c r="G425">
        <v>3</v>
      </c>
      <c r="H425" t="s">
        <v>298</v>
      </c>
    </row>
    <row r="426" spans="1:8" x14ac:dyDescent="0.3">
      <c r="A426" t="s">
        <v>33</v>
      </c>
      <c r="B426" t="s">
        <v>8</v>
      </c>
      <c r="C426" t="s">
        <v>725</v>
      </c>
      <c r="D426" t="s">
        <v>9</v>
      </c>
      <c r="E426" t="s">
        <v>10</v>
      </c>
      <c r="F426" t="s">
        <v>11</v>
      </c>
      <c r="G426">
        <v>3</v>
      </c>
      <c r="H426" t="s">
        <v>726</v>
      </c>
    </row>
    <row r="427" spans="1:8" x14ac:dyDescent="0.3">
      <c r="A427" t="s">
        <v>27</v>
      </c>
      <c r="B427" t="s">
        <v>8</v>
      </c>
      <c r="C427" t="s">
        <v>727</v>
      </c>
      <c r="D427" t="s">
        <v>14</v>
      </c>
      <c r="E427" t="s">
        <v>15</v>
      </c>
      <c r="F427" t="s">
        <v>13</v>
      </c>
      <c r="G427">
        <v>1</v>
      </c>
      <c r="H427" t="s">
        <v>728</v>
      </c>
    </row>
    <row r="428" spans="1:8" x14ac:dyDescent="0.3">
      <c r="A428" t="s">
        <v>36</v>
      </c>
      <c r="B428" t="s">
        <v>8</v>
      </c>
      <c r="C428" t="s">
        <v>158</v>
      </c>
      <c r="D428" t="s">
        <v>14</v>
      </c>
      <c r="E428" t="s">
        <v>10</v>
      </c>
      <c r="F428" t="s">
        <v>13</v>
      </c>
      <c r="G428">
        <v>1</v>
      </c>
      <c r="H428" t="s">
        <v>729</v>
      </c>
    </row>
    <row r="429" spans="1:8" x14ac:dyDescent="0.3">
      <c r="A429" t="s">
        <v>33</v>
      </c>
      <c r="B429" t="s">
        <v>8</v>
      </c>
      <c r="C429" t="s">
        <v>730</v>
      </c>
      <c r="D429" t="s">
        <v>12</v>
      </c>
      <c r="E429" t="s">
        <v>10</v>
      </c>
      <c r="F429" t="s">
        <v>13</v>
      </c>
      <c r="G429">
        <v>2</v>
      </c>
      <c r="H429" t="s">
        <v>731</v>
      </c>
    </row>
    <row r="430" spans="1:8" x14ac:dyDescent="0.3">
      <c r="A430" t="s">
        <v>33</v>
      </c>
      <c r="B430" t="s">
        <v>8</v>
      </c>
      <c r="C430" t="s">
        <v>530</v>
      </c>
      <c r="D430" t="s">
        <v>9</v>
      </c>
      <c r="E430" t="s">
        <v>10</v>
      </c>
      <c r="F430" t="s">
        <v>11</v>
      </c>
      <c r="G430">
        <v>2</v>
      </c>
      <c r="H430" t="s">
        <v>732</v>
      </c>
    </row>
    <row r="431" spans="1:8" x14ac:dyDescent="0.3">
      <c r="A431" t="s">
        <v>58</v>
      </c>
      <c r="B431" t="s">
        <v>8</v>
      </c>
      <c r="C431" t="s">
        <v>733</v>
      </c>
      <c r="D431" t="s">
        <v>12</v>
      </c>
      <c r="E431" t="s">
        <v>10</v>
      </c>
      <c r="F431" t="s">
        <v>13</v>
      </c>
      <c r="G431">
        <v>1</v>
      </c>
      <c r="H431" t="s">
        <v>734</v>
      </c>
    </row>
    <row r="432" spans="1:8" x14ac:dyDescent="0.3">
      <c r="A432" t="s">
        <v>112</v>
      </c>
      <c r="B432" t="s">
        <v>8</v>
      </c>
      <c r="C432" t="s">
        <v>735</v>
      </c>
      <c r="D432" t="s">
        <v>12</v>
      </c>
      <c r="E432" t="s">
        <v>10</v>
      </c>
      <c r="F432" t="s">
        <v>13</v>
      </c>
      <c r="G432">
        <v>1</v>
      </c>
      <c r="H432" t="s">
        <v>736</v>
      </c>
    </row>
    <row r="433" spans="1:8" x14ac:dyDescent="0.3">
      <c r="A433" t="s">
        <v>53</v>
      </c>
      <c r="B433" t="s">
        <v>8</v>
      </c>
      <c r="C433" t="s">
        <v>737</v>
      </c>
      <c r="D433" t="s">
        <v>9</v>
      </c>
      <c r="E433" t="s">
        <v>10</v>
      </c>
      <c r="F433" t="s">
        <v>11</v>
      </c>
      <c r="G433">
        <v>1</v>
      </c>
      <c r="H433" t="s">
        <v>738</v>
      </c>
    </row>
    <row r="434" spans="1:8" x14ac:dyDescent="0.3">
      <c r="A434" t="s">
        <v>58</v>
      </c>
      <c r="B434" t="s">
        <v>8</v>
      </c>
      <c r="C434" t="s">
        <v>739</v>
      </c>
      <c r="D434" t="s">
        <v>12</v>
      </c>
      <c r="E434" t="s">
        <v>10</v>
      </c>
      <c r="F434" t="s">
        <v>13</v>
      </c>
      <c r="G434">
        <v>2</v>
      </c>
      <c r="H434" t="s">
        <v>740</v>
      </c>
    </row>
    <row r="435" spans="1:8" x14ac:dyDescent="0.3">
      <c r="A435" t="s">
        <v>58</v>
      </c>
      <c r="B435" t="s">
        <v>8</v>
      </c>
      <c r="C435" t="s">
        <v>741</v>
      </c>
      <c r="D435" t="s">
        <v>17</v>
      </c>
      <c r="E435" t="s">
        <v>10</v>
      </c>
      <c r="F435" t="s">
        <v>13</v>
      </c>
      <c r="G435">
        <v>1</v>
      </c>
      <c r="H435" t="s">
        <v>742</v>
      </c>
    </row>
    <row r="436" spans="1:8" x14ac:dyDescent="0.3">
      <c r="A436" t="s">
        <v>58</v>
      </c>
      <c r="B436" t="s">
        <v>8</v>
      </c>
      <c r="C436" t="s">
        <v>743</v>
      </c>
      <c r="D436" t="s">
        <v>12</v>
      </c>
      <c r="E436" t="s">
        <v>10</v>
      </c>
      <c r="F436" t="s">
        <v>13</v>
      </c>
      <c r="G436">
        <v>1</v>
      </c>
      <c r="H436" t="s">
        <v>240</v>
      </c>
    </row>
    <row r="437" spans="1:8" x14ac:dyDescent="0.3">
      <c r="A437" t="s">
        <v>112</v>
      </c>
      <c r="B437" t="s">
        <v>8</v>
      </c>
      <c r="C437" t="s">
        <v>744</v>
      </c>
      <c r="D437" t="s">
        <v>12</v>
      </c>
      <c r="E437" t="s">
        <v>15</v>
      </c>
      <c r="F437" t="s">
        <v>13</v>
      </c>
      <c r="G437">
        <v>1</v>
      </c>
      <c r="H437" t="s">
        <v>745</v>
      </c>
    </row>
    <row r="438" spans="1:8" x14ac:dyDescent="0.3">
      <c r="A438" t="s">
        <v>27</v>
      </c>
      <c r="B438" t="s">
        <v>8</v>
      </c>
      <c r="C438" t="s">
        <v>746</v>
      </c>
      <c r="D438" t="s">
        <v>12</v>
      </c>
      <c r="E438" t="s">
        <v>15</v>
      </c>
      <c r="F438" t="s">
        <v>13</v>
      </c>
      <c r="G438">
        <v>1</v>
      </c>
      <c r="H438" t="s">
        <v>550</v>
      </c>
    </row>
    <row r="439" spans="1:8" x14ac:dyDescent="0.3">
      <c r="A439" t="s">
        <v>30</v>
      </c>
      <c r="B439" t="s">
        <v>8</v>
      </c>
      <c r="C439" t="s">
        <v>747</v>
      </c>
      <c r="D439" t="s">
        <v>9</v>
      </c>
      <c r="E439" t="s">
        <v>10</v>
      </c>
      <c r="F439" t="s">
        <v>11</v>
      </c>
      <c r="G439">
        <v>2</v>
      </c>
      <c r="H439" t="s">
        <v>748</v>
      </c>
    </row>
    <row r="440" spans="1:8" x14ac:dyDescent="0.3">
      <c r="A440" t="s">
        <v>36</v>
      </c>
      <c r="B440" t="s">
        <v>8</v>
      </c>
      <c r="C440" t="s">
        <v>749</v>
      </c>
      <c r="D440" t="s">
        <v>9</v>
      </c>
      <c r="E440" t="s">
        <v>10</v>
      </c>
      <c r="F440" t="s">
        <v>11</v>
      </c>
      <c r="G440">
        <v>1</v>
      </c>
      <c r="H440" t="s">
        <v>750</v>
      </c>
    </row>
    <row r="441" spans="1:8" x14ac:dyDescent="0.3">
      <c r="A441" t="s">
        <v>33</v>
      </c>
      <c r="B441" t="s">
        <v>8</v>
      </c>
      <c r="C441" t="s">
        <v>633</v>
      </c>
      <c r="D441" t="s">
        <v>9</v>
      </c>
      <c r="E441" t="s">
        <v>10</v>
      </c>
      <c r="F441" t="s">
        <v>11</v>
      </c>
      <c r="G441">
        <v>2</v>
      </c>
      <c r="H441" t="s">
        <v>751</v>
      </c>
    </row>
    <row r="442" spans="1:8" x14ac:dyDescent="0.3">
      <c r="A442" t="s">
        <v>30</v>
      </c>
      <c r="B442" t="s">
        <v>8</v>
      </c>
      <c r="C442" t="s">
        <v>752</v>
      </c>
      <c r="D442" t="s">
        <v>14</v>
      </c>
      <c r="E442" t="s">
        <v>10</v>
      </c>
      <c r="F442" t="s">
        <v>13</v>
      </c>
      <c r="G442">
        <v>3</v>
      </c>
      <c r="H442" t="s">
        <v>100</v>
      </c>
    </row>
    <row r="443" spans="1:8" x14ac:dyDescent="0.3">
      <c r="A443" t="s">
        <v>53</v>
      </c>
      <c r="B443" t="s">
        <v>8</v>
      </c>
      <c r="C443" t="s">
        <v>179</v>
      </c>
      <c r="D443" t="s">
        <v>14</v>
      </c>
      <c r="E443" t="s">
        <v>10</v>
      </c>
      <c r="F443" t="s">
        <v>13</v>
      </c>
      <c r="G443">
        <v>2</v>
      </c>
      <c r="H443" t="s">
        <v>753</v>
      </c>
    </row>
    <row r="444" spans="1:8" x14ac:dyDescent="0.3">
      <c r="A444" t="s">
        <v>30</v>
      </c>
      <c r="B444" t="s">
        <v>8</v>
      </c>
      <c r="C444" t="s">
        <v>754</v>
      </c>
      <c r="D444" t="s">
        <v>14</v>
      </c>
      <c r="E444" t="s">
        <v>10</v>
      </c>
      <c r="F444" t="s">
        <v>13</v>
      </c>
      <c r="G444">
        <v>3</v>
      </c>
      <c r="H444" t="s">
        <v>138</v>
      </c>
    </row>
    <row r="445" spans="1:8" x14ac:dyDescent="0.3">
      <c r="A445" t="s">
        <v>33</v>
      </c>
      <c r="B445" t="s">
        <v>8</v>
      </c>
      <c r="C445" t="s">
        <v>755</v>
      </c>
      <c r="D445" t="s">
        <v>12</v>
      </c>
      <c r="E445" t="s">
        <v>15</v>
      </c>
      <c r="F445" t="s">
        <v>13</v>
      </c>
      <c r="G445">
        <v>3</v>
      </c>
      <c r="H445" t="s">
        <v>756</v>
      </c>
    </row>
    <row r="446" spans="1:8" x14ac:dyDescent="0.3">
      <c r="A446" t="s">
        <v>30</v>
      </c>
      <c r="B446" t="s">
        <v>8</v>
      </c>
      <c r="C446" t="s">
        <v>757</v>
      </c>
      <c r="D446" t="s">
        <v>14</v>
      </c>
      <c r="E446" t="s">
        <v>10</v>
      </c>
      <c r="F446" t="s">
        <v>13</v>
      </c>
      <c r="G446">
        <v>2</v>
      </c>
      <c r="H446" t="s">
        <v>758</v>
      </c>
    </row>
    <row r="447" spans="1:8" x14ac:dyDescent="0.3">
      <c r="A447" t="s">
        <v>36</v>
      </c>
      <c r="B447" t="s">
        <v>8</v>
      </c>
      <c r="C447" t="s">
        <v>759</v>
      </c>
      <c r="D447" t="s">
        <v>14</v>
      </c>
      <c r="E447" t="s">
        <v>10</v>
      </c>
      <c r="F447" t="s">
        <v>13</v>
      </c>
      <c r="G447">
        <v>2</v>
      </c>
      <c r="H447" t="s">
        <v>354</v>
      </c>
    </row>
    <row r="448" spans="1:8" x14ac:dyDescent="0.3">
      <c r="A448" t="s">
        <v>30</v>
      </c>
      <c r="B448" t="s">
        <v>8</v>
      </c>
      <c r="C448" t="s">
        <v>760</v>
      </c>
      <c r="D448" t="s">
        <v>14</v>
      </c>
      <c r="E448" t="s">
        <v>10</v>
      </c>
      <c r="F448" t="s">
        <v>13</v>
      </c>
      <c r="G448">
        <v>1</v>
      </c>
      <c r="H448" t="s">
        <v>761</v>
      </c>
    </row>
    <row r="449" spans="1:8" x14ac:dyDescent="0.3">
      <c r="A449" t="s">
        <v>58</v>
      </c>
      <c r="B449" t="s">
        <v>8</v>
      </c>
      <c r="C449" t="s">
        <v>762</v>
      </c>
      <c r="D449" t="s">
        <v>17</v>
      </c>
      <c r="E449" t="s">
        <v>10</v>
      </c>
      <c r="F449" t="s">
        <v>13</v>
      </c>
      <c r="G449">
        <v>2</v>
      </c>
      <c r="H449" t="s">
        <v>763</v>
      </c>
    </row>
    <row r="450" spans="1:8" x14ac:dyDescent="0.3">
      <c r="A450" t="s">
        <v>33</v>
      </c>
      <c r="B450" t="s">
        <v>8</v>
      </c>
      <c r="C450" t="s">
        <v>390</v>
      </c>
      <c r="D450" t="s">
        <v>14</v>
      </c>
      <c r="E450" t="s">
        <v>10</v>
      </c>
      <c r="F450" t="s">
        <v>13</v>
      </c>
      <c r="G450">
        <v>3</v>
      </c>
      <c r="H450" t="s">
        <v>362</v>
      </c>
    </row>
    <row r="451" spans="1:8" x14ac:dyDescent="0.3">
      <c r="A451" t="s">
        <v>273</v>
      </c>
      <c r="B451" t="s">
        <v>8</v>
      </c>
      <c r="C451" t="s">
        <v>283</v>
      </c>
      <c r="D451" t="s">
        <v>12</v>
      </c>
      <c r="E451" t="s">
        <v>10</v>
      </c>
      <c r="F451" t="s">
        <v>13</v>
      </c>
      <c r="G451">
        <v>1</v>
      </c>
      <c r="H451" t="s">
        <v>517</v>
      </c>
    </row>
    <row r="452" spans="1:8" x14ac:dyDescent="0.3">
      <c r="A452" t="s">
        <v>27</v>
      </c>
      <c r="B452" t="s">
        <v>8</v>
      </c>
      <c r="C452" t="s">
        <v>764</v>
      </c>
      <c r="D452" t="s">
        <v>14</v>
      </c>
      <c r="E452" t="s">
        <v>10</v>
      </c>
      <c r="F452" t="s">
        <v>13</v>
      </c>
      <c r="G452">
        <v>1</v>
      </c>
      <c r="H452" t="s">
        <v>539</v>
      </c>
    </row>
    <row r="453" spans="1:8" x14ac:dyDescent="0.3">
      <c r="A453" t="s">
        <v>58</v>
      </c>
      <c r="B453" t="s">
        <v>8</v>
      </c>
      <c r="C453" t="s">
        <v>293</v>
      </c>
      <c r="D453" t="s">
        <v>12</v>
      </c>
      <c r="E453" t="s">
        <v>15</v>
      </c>
      <c r="F453" t="s">
        <v>13</v>
      </c>
      <c r="G453">
        <v>1</v>
      </c>
      <c r="H453" t="s">
        <v>765</v>
      </c>
    </row>
    <row r="454" spans="1:8" x14ac:dyDescent="0.3">
      <c r="A454" t="s">
        <v>53</v>
      </c>
      <c r="B454" t="s">
        <v>8</v>
      </c>
      <c r="C454" t="s">
        <v>766</v>
      </c>
      <c r="D454" t="s">
        <v>14</v>
      </c>
      <c r="E454" t="s">
        <v>15</v>
      </c>
      <c r="F454" t="s">
        <v>13</v>
      </c>
      <c r="G454">
        <v>1</v>
      </c>
      <c r="H454" t="s">
        <v>767</v>
      </c>
    </row>
    <row r="455" spans="1:8" x14ac:dyDescent="0.3">
      <c r="A455" t="s">
        <v>53</v>
      </c>
      <c r="B455" t="s">
        <v>8</v>
      </c>
      <c r="C455" t="s">
        <v>768</v>
      </c>
      <c r="D455" t="s">
        <v>9</v>
      </c>
      <c r="E455" t="s">
        <v>10</v>
      </c>
      <c r="F455" t="s">
        <v>11</v>
      </c>
      <c r="G455">
        <v>1</v>
      </c>
      <c r="H455" t="s">
        <v>769</v>
      </c>
    </row>
    <row r="456" spans="1:8" x14ac:dyDescent="0.3">
      <c r="A456" t="s">
        <v>372</v>
      </c>
      <c r="B456" t="s">
        <v>8</v>
      </c>
      <c r="C456" t="s">
        <v>770</v>
      </c>
      <c r="D456" t="s">
        <v>12</v>
      </c>
      <c r="E456" t="s">
        <v>15</v>
      </c>
      <c r="F456" t="s">
        <v>13</v>
      </c>
      <c r="G456">
        <v>1</v>
      </c>
      <c r="H456" t="s">
        <v>771</v>
      </c>
    </row>
    <row r="457" spans="1:8" x14ac:dyDescent="0.3">
      <c r="A457" t="s">
        <v>372</v>
      </c>
      <c r="B457" t="s">
        <v>8</v>
      </c>
      <c r="C457" t="s">
        <v>772</v>
      </c>
      <c r="D457" t="s">
        <v>12</v>
      </c>
      <c r="E457" t="s">
        <v>10</v>
      </c>
      <c r="F457" t="s">
        <v>13</v>
      </c>
      <c r="G457">
        <v>1</v>
      </c>
      <c r="H457" t="s">
        <v>773</v>
      </c>
    </row>
    <row r="458" spans="1:8" x14ac:dyDescent="0.3">
      <c r="A458" t="s">
        <v>58</v>
      </c>
      <c r="B458" t="s">
        <v>8</v>
      </c>
      <c r="C458" t="s">
        <v>774</v>
      </c>
      <c r="D458" t="s">
        <v>12</v>
      </c>
      <c r="E458" t="s">
        <v>10</v>
      </c>
      <c r="F458" t="s">
        <v>13</v>
      </c>
      <c r="G458">
        <v>1</v>
      </c>
      <c r="H458" t="s">
        <v>775</v>
      </c>
    </row>
    <row r="459" spans="1:8" x14ac:dyDescent="0.3">
      <c r="A459" t="s">
        <v>33</v>
      </c>
      <c r="B459" t="s">
        <v>8</v>
      </c>
      <c r="C459" t="s">
        <v>776</v>
      </c>
      <c r="D459" t="s">
        <v>9</v>
      </c>
      <c r="E459" t="s">
        <v>10</v>
      </c>
      <c r="F459" t="s">
        <v>11</v>
      </c>
      <c r="G459">
        <v>2</v>
      </c>
      <c r="H459" t="s">
        <v>250</v>
      </c>
    </row>
    <row r="460" spans="1:8" x14ac:dyDescent="0.3">
      <c r="A460" t="s">
        <v>33</v>
      </c>
      <c r="B460" t="s">
        <v>8</v>
      </c>
      <c r="C460" t="s">
        <v>777</v>
      </c>
      <c r="D460" t="s">
        <v>14</v>
      </c>
      <c r="E460" t="s">
        <v>10</v>
      </c>
      <c r="F460" t="s">
        <v>13</v>
      </c>
      <c r="G460">
        <v>2</v>
      </c>
      <c r="H460" t="s">
        <v>778</v>
      </c>
    </row>
    <row r="461" spans="1:8" x14ac:dyDescent="0.3">
      <c r="A461" t="s">
        <v>273</v>
      </c>
      <c r="B461" t="s">
        <v>8</v>
      </c>
      <c r="C461" t="s">
        <v>339</v>
      </c>
      <c r="D461" t="s">
        <v>17</v>
      </c>
      <c r="E461" t="s">
        <v>15</v>
      </c>
      <c r="F461" t="s">
        <v>13</v>
      </c>
      <c r="G461">
        <v>1</v>
      </c>
      <c r="H461" t="s">
        <v>779</v>
      </c>
    </row>
    <row r="462" spans="1:8" x14ac:dyDescent="0.3">
      <c r="A462" t="s">
        <v>33</v>
      </c>
      <c r="B462" t="s">
        <v>8</v>
      </c>
      <c r="C462" t="s">
        <v>270</v>
      </c>
      <c r="D462" t="s">
        <v>12</v>
      </c>
      <c r="E462" t="s">
        <v>10</v>
      </c>
      <c r="F462" t="s">
        <v>13</v>
      </c>
      <c r="G462">
        <v>2</v>
      </c>
      <c r="H462" t="s">
        <v>780</v>
      </c>
    </row>
    <row r="463" spans="1:8" x14ac:dyDescent="0.3">
      <c r="A463" t="s">
        <v>58</v>
      </c>
      <c r="B463" t="s">
        <v>8</v>
      </c>
      <c r="C463" t="s">
        <v>781</v>
      </c>
      <c r="D463" t="s">
        <v>12</v>
      </c>
      <c r="E463" t="s">
        <v>10</v>
      </c>
      <c r="F463" t="s">
        <v>13</v>
      </c>
      <c r="G463">
        <v>1</v>
      </c>
      <c r="H463" t="s">
        <v>782</v>
      </c>
    </row>
    <row r="464" spans="1:8" x14ac:dyDescent="0.3">
      <c r="A464" t="s">
        <v>58</v>
      </c>
      <c r="B464" t="s">
        <v>8</v>
      </c>
      <c r="C464" t="s">
        <v>783</v>
      </c>
      <c r="D464" t="s">
        <v>12</v>
      </c>
      <c r="E464" t="s">
        <v>10</v>
      </c>
      <c r="F464" t="s">
        <v>13</v>
      </c>
      <c r="G464">
        <v>1</v>
      </c>
      <c r="H464" t="s">
        <v>784</v>
      </c>
    </row>
    <row r="465" spans="1:8" x14ac:dyDescent="0.3">
      <c r="A465" t="s">
        <v>27</v>
      </c>
      <c r="B465" t="s">
        <v>8</v>
      </c>
      <c r="C465" t="s">
        <v>108</v>
      </c>
      <c r="D465" t="s">
        <v>14</v>
      </c>
      <c r="E465" t="s">
        <v>15</v>
      </c>
      <c r="F465" t="s">
        <v>13</v>
      </c>
      <c r="G465">
        <v>1</v>
      </c>
      <c r="H465" t="s">
        <v>785</v>
      </c>
    </row>
    <row r="466" spans="1:8" x14ac:dyDescent="0.3">
      <c r="A466" t="s">
        <v>53</v>
      </c>
      <c r="B466" t="s">
        <v>8</v>
      </c>
      <c r="C466" t="s">
        <v>786</v>
      </c>
      <c r="D466" t="s">
        <v>9</v>
      </c>
      <c r="E466" t="s">
        <v>15</v>
      </c>
      <c r="F466" t="s">
        <v>11</v>
      </c>
      <c r="G466">
        <v>1</v>
      </c>
      <c r="H466" t="s">
        <v>787</v>
      </c>
    </row>
    <row r="467" spans="1:8" x14ac:dyDescent="0.3">
      <c r="A467" t="s">
        <v>53</v>
      </c>
      <c r="B467" t="s">
        <v>8</v>
      </c>
      <c r="C467" t="s">
        <v>788</v>
      </c>
      <c r="D467" t="s">
        <v>14</v>
      </c>
      <c r="E467" t="s">
        <v>15</v>
      </c>
      <c r="F467" t="s">
        <v>13</v>
      </c>
      <c r="G467">
        <v>2</v>
      </c>
      <c r="H467" t="s">
        <v>789</v>
      </c>
    </row>
    <row r="468" spans="1:8" x14ac:dyDescent="0.3">
      <c r="A468" t="s">
        <v>36</v>
      </c>
      <c r="B468" t="s">
        <v>8</v>
      </c>
      <c r="C468" t="s">
        <v>790</v>
      </c>
      <c r="D468" t="s">
        <v>14</v>
      </c>
      <c r="E468" t="s">
        <v>15</v>
      </c>
      <c r="F468" t="s">
        <v>13</v>
      </c>
      <c r="G468">
        <v>3</v>
      </c>
      <c r="H468" t="s">
        <v>791</v>
      </c>
    </row>
    <row r="469" spans="1:8" x14ac:dyDescent="0.3">
      <c r="A469" t="s">
        <v>112</v>
      </c>
      <c r="B469" t="s">
        <v>8</v>
      </c>
      <c r="C469" t="s">
        <v>792</v>
      </c>
      <c r="D469" t="s">
        <v>12</v>
      </c>
      <c r="E469" t="s">
        <v>10</v>
      </c>
      <c r="F469" t="s">
        <v>13</v>
      </c>
      <c r="G469">
        <v>1</v>
      </c>
      <c r="H469" t="s">
        <v>523</v>
      </c>
    </row>
    <row r="470" spans="1:8" x14ac:dyDescent="0.3">
      <c r="A470" t="s">
        <v>53</v>
      </c>
      <c r="B470" t="s">
        <v>8</v>
      </c>
      <c r="C470" t="s">
        <v>793</v>
      </c>
      <c r="D470" t="s">
        <v>14</v>
      </c>
      <c r="E470" t="s">
        <v>10</v>
      </c>
      <c r="F470" t="s">
        <v>13</v>
      </c>
      <c r="G470">
        <v>2</v>
      </c>
      <c r="H470" t="s">
        <v>196</v>
      </c>
    </row>
    <row r="471" spans="1:8" x14ac:dyDescent="0.3">
      <c r="A471" t="s">
        <v>112</v>
      </c>
      <c r="B471" t="s">
        <v>8</v>
      </c>
      <c r="C471" t="s">
        <v>794</v>
      </c>
      <c r="D471" t="s">
        <v>12</v>
      </c>
      <c r="E471" t="s">
        <v>10</v>
      </c>
      <c r="F471" t="s">
        <v>13</v>
      </c>
      <c r="G471">
        <v>1</v>
      </c>
      <c r="H471" t="s">
        <v>795</v>
      </c>
    </row>
    <row r="472" spans="1:8" x14ac:dyDescent="0.3">
      <c r="A472" t="s">
        <v>58</v>
      </c>
      <c r="B472" t="s">
        <v>8</v>
      </c>
      <c r="C472" t="s">
        <v>796</v>
      </c>
      <c r="D472" t="s">
        <v>12</v>
      </c>
      <c r="E472" t="s">
        <v>10</v>
      </c>
      <c r="F472" t="s">
        <v>13</v>
      </c>
      <c r="G472">
        <v>1</v>
      </c>
      <c r="H472" t="s">
        <v>797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472"/>
  <sheetViews>
    <sheetView tabSelected="1" workbookViewId="0"/>
  </sheetViews>
  <sheetFormatPr baseColWidth="10" defaultColWidth="8.88671875" defaultRowHeight="14.4" x14ac:dyDescent="0.3"/>
  <cols>
    <col min="3" max="3" width="12.5546875" customWidth="1"/>
    <col min="5" max="5" width="13" customWidth="1"/>
    <col min="6" max="6" width="13.44140625" customWidth="1"/>
    <col min="7" max="7" width="13" customWidth="1"/>
    <col min="8" max="8" width="17" style="9" customWidth="1"/>
    <col min="9" max="9" width="11.5546875" bestFit="1" customWidth="1"/>
    <col min="12" max="12" width="10.21875" customWidth="1"/>
    <col min="13" max="13" width="11.33203125" customWidth="1"/>
    <col min="14" max="14" width="10.77734375" bestFit="1" customWidth="1"/>
    <col min="15" max="15" width="11.33203125" bestFit="1" customWidth="1"/>
    <col min="16" max="16" width="10.3320312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9" t="s">
        <v>7</v>
      </c>
      <c r="I1" t="s">
        <v>827</v>
      </c>
      <c r="L1" s="17" t="s">
        <v>0</v>
      </c>
      <c r="M1" s="17" t="s">
        <v>3</v>
      </c>
      <c r="N1" s="17" t="s">
        <v>858</v>
      </c>
      <c r="O1" s="17" t="s">
        <v>859</v>
      </c>
      <c r="P1" s="17" t="s">
        <v>860</v>
      </c>
    </row>
    <row r="2" spans="1:16" x14ac:dyDescent="0.3">
      <c r="A2">
        <v>2022</v>
      </c>
      <c r="B2" t="s">
        <v>8</v>
      </c>
      <c r="C2">
        <v>1500</v>
      </c>
      <c r="D2" t="s">
        <v>17</v>
      </c>
      <c r="E2" t="s">
        <v>15</v>
      </c>
      <c r="F2" t="s">
        <v>13</v>
      </c>
      <c r="G2">
        <v>1</v>
      </c>
      <c r="H2" s="9">
        <v>30450</v>
      </c>
      <c r="I2" t="s">
        <v>828</v>
      </c>
      <c r="L2" s="4"/>
      <c r="M2" s="4"/>
      <c r="N2" s="4"/>
      <c r="O2" s="4"/>
      <c r="P2" s="4"/>
    </row>
    <row r="3" spans="1:16" x14ac:dyDescent="0.3">
      <c r="A3">
        <v>2022</v>
      </c>
      <c r="B3" t="s">
        <v>8</v>
      </c>
      <c r="C3">
        <v>3000</v>
      </c>
      <c r="D3" t="s">
        <v>12</v>
      </c>
      <c r="E3" t="s">
        <v>10</v>
      </c>
      <c r="F3" t="s">
        <v>13</v>
      </c>
      <c r="G3">
        <v>1</v>
      </c>
      <c r="H3" s="9">
        <v>29995</v>
      </c>
      <c r="I3" t="s">
        <v>828</v>
      </c>
    </row>
    <row r="4" spans="1:16" x14ac:dyDescent="0.3">
      <c r="A4">
        <v>2022</v>
      </c>
      <c r="B4" t="s">
        <v>8</v>
      </c>
      <c r="C4">
        <v>9</v>
      </c>
      <c r="D4" t="s">
        <v>12</v>
      </c>
      <c r="E4" t="s">
        <v>15</v>
      </c>
      <c r="F4" t="s">
        <v>13</v>
      </c>
      <c r="G4">
        <v>1</v>
      </c>
      <c r="H4" s="9">
        <v>29990</v>
      </c>
      <c r="I4" t="s">
        <v>829</v>
      </c>
    </row>
    <row r="5" spans="1:16" x14ac:dyDescent="0.3">
      <c r="A5">
        <v>2022</v>
      </c>
      <c r="B5" t="s">
        <v>8</v>
      </c>
      <c r="C5">
        <v>1500</v>
      </c>
      <c r="D5" t="s">
        <v>17</v>
      </c>
      <c r="E5" t="s">
        <v>15</v>
      </c>
      <c r="F5" t="s">
        <v>13</v>
      </c>
      <c r="G5">
        <v>1</v>
      </c>
      <c r="H5" s="9">
        <v>28950</v>
      </c>
      <c r="I5" t="s">
        <v>831</v>
      </c>
    </row>
    <row r="6" spans="1:16" x14ac:dyDescent="0.3">
      <c r="A6">
        <v>2021</v>
      </c>
      <c r="B6" t="s">
        <v>8</v>
      </c>
      <c r="C6">
        <v>14500</v>
      </c>
      <c r="D6" t="s">
        <v>17</v>
      </c>
      <c r="E6" t="s">
        <v>15</v>
      </c>
      <c r="F6" t="s">
        <v>13</v>
      </c>
      <c r="G6">
        <v>2</v>
      </c>
      <c r="H6" s="9">
        <v>28499</v>
      </c>
      <c r="I6" t="s">
        <v>830</v>
      </c>
    </row>
    <row r="7" spans="1:16" x14ac:dyDescent="0.3">
      <c r="A7">
        <v>2022</v>
      </c>
      <c r="B7" t="s">
        <v>8</v>
      </c>
      <c r="C7">
        <v>4293</v>
      </c>
      <c r="D7" t="s">
        <v>12</v>
      </c>
      <c r="E7" t="s">
        <v>15</v>
      </c>
      <c r="F7" t="s">
        <v>13</v>
      </c>
      <c r="G7">
        <v>1</v>
      </c>
      <c r="H7" s="9">
        <v>27179</v>
      </c>
      <c r="I7" t="s">
        <v>830</v>
      </c>
    </row>
    <row r="8" spans="1:16" x14ac:dyDescent="0.3">
      <c r="A8">
        <v>2022</v>
      </c>
      <c r="B8" t="s">
        <v>8</v>
      </c>
      <c r="C8">
        <v>5008</v>
      </c>
      <c r="D8" t="s">
        <v>17</v>
      </c>
      <c r="E8" t="s">
        <v>15</v>
      </c>
      <c r="F8" t="s">
        <v>13</v>
      </c>
      <c r="G8">
        <v>1</v>
      </c>
      <c r="H8" s="9">
        <v>26900</v>
      </c>
      <c r="I8" t="s">
        <v>830</v>
      </c>
    </row>
    <row r="9" spans="1:16" x14ac:dyDescent="0.3">
      <c r="A9">
        <v>2022</v>
      </c>
      <c r="B9" t="s">
        <v>8</v>
      </c>
      <c r="C9">
        <v>2971</v>
      </c>
      <c r="D9" t="s">
        <v>17</v>
      </c>
      <c r="E9" t="s">
        <v>15</v>
      </c>
      <c r="F9" t="s">
        <v>13</v>
      </c>
      <c r="G9">
        <v>1</v>
      </c>
      <c r="H9" s="9">
        <v>26499</v>
      </c>
      <c r="I9" t="s">
        <v>829</v>
      </c>
    </row>
    <row r="10" spans="1:16" x14ac:dyDescent="0.3">
      <c r="A10">
        <v>2022</v>
      </c>
      <c r="B10" t="s">
        <v>8</v>
      </c>
      <c r="C10">
        <v>3529</v>
      </c>
      <c r="D10" t="s">
        <v>12</v>
      </c>
      <c r="E10" t="s">
        <v>10</v>
      </c>
      <c r="F10" t="s">
        <v>13</v>
      </c>
      <c r="G10">
        <v>1</v>
      </c>
      <c r="H10" s="9">
        <v>25995</v>
      </c>
      <c r="I10" t="s">
        <v>829</v>
      </c>
    </row>
    <row r="11" spans="1:16" x14ac:dyDescent="0.3">
      <c r="A11">
        <v>2021</v>
      </c>
      <c r="B11" t="s">
        <v>8</v>
      </c>
      <c r="C11">
        <v>9044</v>
      </c>
      <c r="D11" t="s">
        <v>17</v>
      </c>
      <c r="E11" t="s">
        <v>15</v>
      </c>
      <c r="F11" t="s">
        <v>13</v>
      </c>
      <c r="G11">
        <v>1</v>
      </c>
      <c r="H11" s="9">
        <v>25995</v>
      </c>
      <c r="I11" t="s">
        <v>828</v>
      </c>
    </row>
    <row r="12" spans="1:16" x14ac:dyDescent="0.3">
      <c r="A12">
        <v>2022</v>
      </c>
      <c r="B12" t="s">
        <v>8</v>
      </c>
      <c r="C12">
        <v>2000</v>
      </c>
      <c r="D12" t="s">
        <v>12</v>
      </c>
      <c r="E12" t="s">
        <v>10</v>
      </c>
      <c r="F12" t="s">
        <v>13</v>
      </c>
      <c r="G12">
        <v>1</v>
      </c>
      <c r="H12" s="9">
        <v>25995</v>
      </c>
      <c r="I12" t="s">
        <v>830</v>
      </c>
    </row>
    <row r="13" spans="1:16" x14ac:dyDescent="0.3">
      <c r="A13">
        <v>2020</v>
      </c>
      <c r="B13" t="s">
        <v>8</v>
      </c>
      <c r="C13">
        <v>11775</v>
      </c>
      <c r="D13" t="s">
        <v>17</v>
      </c>
      <c r="E13" t="s">
        <v>15</v>
      </c>
      <c r="F13" t="s">
        <v>13</v>
      </c>
      <c r="G13">
        <v>1</v>
      </c>
      <c r="H13" s="9">
        <v>25990</v>
      </c>
      <c r="I13" t="s">
        <v>831</v>
      </c>
    </row>
    <row r="14" spans="1:16" x14ac:dyDescent="0.3">
      <c r="A14">
        <v>2021</v>
      </c>
      <c r="B14" t="s">
        <v>8</v>
      </c>
      <c r="C14">
        <v>5246</v>
      </c>
      <c r="D14" t="s">
        <v>17</v>
      </c>
      <c r="E14" t="s">
        <v>15</v>
      </c>
      <c r="F14" t="s">
        <v>13</v>
      </c>
      <c r="G14">
        <v>1</v>
      </c>
      <c r="H14" s="9">
        <v>25890</v>
      </c>
      <c r="I14" t="s">
        <v>829</v>
      </c>
    </row>
    <row r="15" spans="1:16" x14ac:dyDescent="0.3">
      <c r="A15">
        <v>2022</v>
      </c>
      <c r="B15" t="s">
        <v>8</v>
      </c>
      <c r="C15">
        <v>364</v>
      </c>
      <c r="D15" t="s">
        <v>12</v>
      </c>
      <c r="E15" t="s">
        <v>15</v>
      </c>
      <c r="F15" t="s">
        <v>13</v>
      </c>
      <c r="G15">
        <v>2</v>
      </c>
      <c r="H15" s="9">
        <v>25399</v>
      </c>
      <c r="I15" t="s">
        <v>828</v>
      </c>
    </row>
    <row r="16" spans="1:16" x14ac:dyDescent="0.3">
      <c r="A16">
        <v>2021</v>
      </c>
      <c r="B16" t="s">
        <v>8</v>
      </c>
      <c r="C16">
        <v>8555</v>
      </c>
      <c r="D16" t="s">
        <v>12</v>
      </c>
      <c r="E16" t="s">
        <v>15</v>
      </c>
      <c r="F16" t="s">
        <v>13</v>
      </c>
      <c r="G16">
        <v>1</v>
      </c>
      <c r="H16" s="9">
        <v>25290</v>
      </c>
      <c r="I16" t="s">
        <v>829</v>
      </c>
    </row>
    <row r="17" spans="1:9" x14ac:dyDescent="0.3">
      <c r="A17">
        <v>2022</v>
      </c>
      <c r="B17" t="s">
        <v>8</v>
      </c>
      <c r="C17">
        <v>2067</v>
      </c>
      <c r="D17" t="s">
        <v>12</v>
      </c>
      <c r="E17" t="s">
        <v>15</v>
      </c>
      <c r="F17" t="s">
        <v>13</v>
      </c>
      <c r="G17">
        <v>1</v>
      </c>
      <c r="H17" s="9">
        <v>24999</v>
      </c>
      <c r="I17" t="s">
        <v>829</v>
      </c>
    </row>
    <row r="18" spans="1:9" x14ac:dyDescent="0.3">
      <c r="A18">
        <v>2021</v>
      </c>
      <c r="B18" t="s">
        <v>8</v>
      </c>
      <c r="C18">
        <v>9700</v>
      </c>
      <c r="D18" t="s">
        <v>12</v>
      </c>
      <c r="E18" t="s">
        <v>10</v>
      </c>
      <c r="F18" t="s">
        <v>13</v>
      </c>
      <c r="G18">
        <v>1</v>
      </c>
      <c r="H18" s="9">
        <v>24990</v>
      </c>
      <c r="I18" t="s">
        <v>830</v>
      </c>
    </row>
    <row r="19" spans="1:9" x14ac:dyDescent="0.3">
      <c r="A19">
        <v>2021</v>
      </c>
      <c r="B19" t="s">
        <v>8</v>
      </c>
      <c r="C19">
        <v>10000</v>
      </c>
      <c r="D19" t="s">
        <v>12</v>
      </c>
      <c r="E19" t="s">
        <v>15</v>
      </c>
      <c r="F19" t="s">
        <v>13</v>
      </c>
      <c r="G19">
        <v>1</v>
      </c>
      <c r="H19" s="9">
        <v>24990</v>
      </c>
      <c r="I19" t="s">
        <v>831</v>
      </c>
    </row>
    <row r="20" spans="1:9" x14ac:dyDescent="0.3">
      <c r="A20">
        <v>2021</v>
      </c>
      <c r="B20" t="s">
        <v>8</v>
      </c>
      <c r="C20">
        <v>5550</v>
      </c>
      <c r="D20" t="s">
        <v>12</v>
      </c>
      <c r="E20" t="s">
        <v>15</v>
      </c>
      <c r="F20" t="s">
        <v>13</v>
      </c>
      <c r="G20">
        <v>1</v>
      </c>
      <c r="H20" s="9">
        <v>24795</v>
      </c>
      <c r="I20" t="s">
        <v>830</v>
      </c>
    </row>
    <row r="21" spans="1:9" x14ac:dyDescent="0.3">
      <c r="A21">
        <v>2020</v>
      </c>
      <c r="B21" t="s">
        <v>8</v>
      </c>
      <c r="C21">
        <v>14490</v>
      </c>
      <c r="D21" t="s">
        <v>18</v>
      </c>
      <c r="E21" t="s">
        <v>15</v>
      </c>
      <c r="F21" t="s">
        <v>13</v>
      </c>
      <c r="G21">
        <v>2</v>
      </c>
      <c r="H21" s="9">
        <v>24790</v>
      </c>
      <c r="I21" t="s">
        <v>829</v>
      </c>
    </row>
    <row r="22" spans="1:9" x14ac:dyDescent="0.3">
      <c r="A22">
        <v>2019</v>
      </c>
      <c r="B22" t="s">
        <v>8</v>
      </c>
      <c r="C22">
        <v>10761</v>
      </c>
      <c r="D22" t="s">
        <v>12</v>
      </c>
      <c r="E22" t="s">
        <v>10</v>
      </c>
      <c r="F22" t="s">
        <v>13</v>
      </c>
      <c r="G22">
        <v>1</v>
      </c>
      <c r="H22" s="9">
        <v>24499</v>
      </c>
      <c r="I22" t="s">
        <v>830</v>
      </c>
    </row>
    <row r="23" spans="1:9" x14ac:dyDescent="0.3">
      <c r="A23">
        <v>2020</v>
      </c>
      <c r="B23" t="s">
        <v>8</v>
      </c>
      <c r="C23">
        <v>18250</v>
      </c>
      <c r="D23" t="s">
        <v>17</v>
      </c>
      <c r="E23" t="s">
        <v>15</v>
      </c>
      <c r="F23" t="s">
        <v>13</v>
      </c>
      <c r="G23">
        <v>2</v>
      </c>
      <c r="H23" s="9">
        <v>24495</v>
      </c>
      <c r="I23" t="s">
        <v>828</v>
      </c>
    </row>
    <row r="24" spans="1:9" x14ac:dyDescent="0.3">
      <c r="A24">
        <v>2021</v>
      </c>
      <c r="B24" t="s">
        <v>8</v>
      </c>
      <c r="C24">
        <v>21555</v>
      </c>
      <c r="D24" t="s">
        <v>12</v>
      </c>
      <c r="E24" t="s">
        <v>15</v>
      </c>
      <c r="F24" t="s">
        <v>13</v>
      </c>
      <c r="G24">
        <v>1</v>
      </c>
      <c r="H24" s="9">
        <v>23390</v>
      </c>
      <c r="I24" t="s">
        <v>830</v>
      </c>
    </row>
    <row r="25" spans="1:9" x14ac:dyDescent="0.3">
      <c r="A25">
        <v>2021</v>
      </c>
      <c r="B25" t="s">
        <v>8</v>
      </c>
      <c r="C25">
        <v>22500</v>
      </c>
      <c r="D25" t="s">
        <v>12</v>
      </c>
      <c r="E25" t="s">
        <v>15</v>
      </c>
      <c r="F25" t="s">
        <v>13</v>
      </c>
      <c r="G25">
        <v>1</v>
      </c>
      <c r="H25" s="9">
        <v>23000</v>
      </c>
      <c r="I25" t="s">
        <v>828</v>
      </c>
    </row>
    <row r="26" spans="1:9" x14ac:dyDescent="0.3">
      <c r="A26">
        <v>2019</v>
      </c>
      <c r="B26" t="s">
        <v>8</v>
      </c>
      <c r="C26">
        <v>12066</v>
      </c>
      <c r="D26" t="s">
        <v>12</v>
      </c>
      <c r="E26" t="s">
        <v>15</v>
      </c>
      <c r="F26" t="s">
        <v>13</v>
      </c>
      <c r="G26">
        <v>1</v>
      </c>
      <c r="H26" s="9">
        <v>22995</v>
      </c>
      <c r="I26" t="s">
        <v>828</v>
      </c>
    </row>
    <row r="27" spans="1:9" x14ac:dyDescent="0.3">
      <c r="A27">
        <v>2019</v>
      </c>
      <c r="B27" t="s">
        <v>8</v>
      </c>
      <c r="C27">
        <v>27811</v>
      </c>
      <c r="D27" t="s">
        <v>17</v>
      </c>
      <c r="E27" t="s">
        <v>10</v>
      </c>
      <c r="F27" t="s">
        <v>13</v>
      </c>
      <c r="G27">
        <v>2</v>
      </c>
      <c r="H27" s="9">
        <v>22500</v>
      </c>
      <c r="I27" t="s">
        <v>829</v>
      </c>
    </row>
    <row r="28" spans="1:9" x14ac:dyDescent="0.3">
      <c r="A28">
        <v>2019</v>
      </c>
      <c r="B28" t="s">
        <v>8</v>
      </c>
      <c r="C28">
        <v>14201</v>
      </c>
      <c r="D28" t="s">
        <v>17</v>
      </c>
      <c r="E28" t="s">
        <v>15</v>
      </c>
      <c r="F28" t="s">
        <v>13</v>
      </c>
      <c r="G28">
        <v>2</v>
      </c>
      <c r="H28" s="9">
        <v>22500</v>
      </c>
      <c r="I28" t="s">
        <v>831</v>
      </c>
    </row>
    <row r="29" spans="1:9" x14ac:dyDescent="0.3">
      <c r="A29">
        <v>2020</v>
      </c>
      <c r="B29" t="s">
        <v>8</v>
      </c>
      <c r="C29">
        <v>13320</v>
      </c>
      <c r="D29" t="s">
        <v>12</v>
      </c>
      <c r="E29" t="s">
        <v>15</v>
      </c>
      <c r="F29" t="s">
        <v>13</v>
      </c>
      <c r="G29">
        <v>1</v>
      </c>
      <c r="H29" s="9">
        <v>22499</v>
      </c>
      <c r="I29" t="s">
        <v>830</v>
      </c>
    </row>
    <row r="30" spans="1:9" x14ac:dyDescent="0.3">
      <c r="A30">
        <v>2020</v>
      </c>
      <c r="B30" t="s">
        <v>8</v>
      </c>
      <c r="C30">
        <v>34000</v>
      </c>
      <c r="D30" t="s">
        <v>12</v>
      </c>
      <c r="E30" t="s">
        <v>15</v>
      </c>
      <c r="F30" t="s">
        <v>13</v>
      </c>
      <c r="G30">
        <v>1</v>
      </c>
      <c r="H30" s="9">
        <v>22490</v>
      </c>
      <c r="I30" t="s">
        <v>830</v>
      </c>
    </row>
    <row r="31" spans="1:9" x14ac:dyDescent="0.3">
      <c r="A31">
        <v>2021</v>
      </c>
      <c r="B31" t="s">
        <v>8</v>
      </c>
      <c r="C31">
        <v>16997</v>
      </c>
      <c r="D31" t="s">
        <v>12</v>
      </c>
      <c r="E31" t="s">
        <v>15</v>
      </c>
      <c r="F31" t="s">
        <v>13</v>
      </c>
      <c r="G31">
        <v>1</v>
      </c>
      <c r="H31" s="9">
        <v>21995</v>
      </c>
      <c r="I31" t="s">
        <v>830</v>
      </c>
    </row>
    <row r="32" spans="1:9" x14ac:dyDescent="0.3">
      <c r="A32">
        <v>2019</v>
      </c>
      <c r="B32" t="s">
        <v>8</v>
      </c>
      <c r="C32">
        <v>10306</v>
      </c>
      <c r="D32" t="s">
        <v>12</v>
      </c>
      <c r="E32" t="s">
        <v>15</v>
      </c>
      <c r="F32" t="s">
        <v>13</v>
      </c>
      <c r="G32">
        <v>2</v>
      </c>
      <c r="H32" s="9">
        <v>21950</v>
      </c>
      <c r="I32" t="s">
        <v>829</v>
      </c>
    </row>
    <row r="33" spans="1:9" x14ac:dyDescent="0.3">
      <c r="A33">
        <v>2020</v>
      </c>
      <c r="B33" t="s">
        <v>8</v>
      </c>
      <c r="C33">
        <v>12433</v>
      </c>
      <c r="D33" t="s">
        <v>17</v>
      </c>
      <c r="E33" t="s">
        <v>10</v>
      </c>
      <c r="F33" t="s">
        <v>13</v>
      </c>
      <c r="G33">
        <v>1</v>
      </c>
      <c r="H33" s="9">
        <v>21799</v>
      </c>
      <c r="I33" t="s">
        <v>829</v>
      </c>
    </row>
    <row r="34" spans="1:9" x14ac:dyDescent="0.3">
      <c r="A34">
        <v>2019</v>
      </c>
      <c r="B34" t="s">
        <v>8</v>
      </c>
      <c r="C34">
        <v>23645</v>
      </c>
      <c r="D34" t="s">
        <v>17</v>
      </c>
      <c r="E34" t="s">
        <v>15</v>
      </c>
      <c r="F34" t="s">
        <v>13</v>
      </c>
      <c r="G34">
        <v>1</v>
      </c>
      <c r="H34" s="9">
        <v>21490</v>
      </c>
      <c r="I34" t="s">
        <v>828</v>
      </c>
    </row>
    <row r="35" spans="1:9" x14ac:dyDescent="0.3">
      <c r="A35">
        <v>2020</v>
      </c>
      <c r="B35" t="s">
        <v>8</v>
      </c>
      <c r="C35">
        <v>15769</v>
      </c>
      <c r="D35" t="s">
        <v>12</v>
      </c>
      <c r="E35" t="s">
        <v>10</v>
      </c>
      <c r="F35" t="s">
        <v>13</v>
      </c>
      <c r="G35">
        <v>1</v>
      </c>
      <c r="H35" s="9">
        <v>21490</v>
      </c>
      <c r="I35" t="s">
        <v>830</v>
      </c>
    </row>
    <row r="36" spans="1:9" x14ac:dyDescent="0.3">
      <c r="A36">
        <v>2019</v>
      </c>
      <c r="B36" t="s">
        <v>8</v>
      </c>
      <c r="C36">
        <v>23232</v>
      </c>
      <c r="D36" t="s">
        <v>17</v>
      </c>
      <c r="E36" t="s">
        <v>15</v>
      </c>
      <c r="F36" t="s">
        <v>13</v>
      </c>
      <c r="G36">
        <v>1</v>
      </c>
      <c r="H36" s="9">
        <v>21390</v>
      </c>
      <c r="I36" t="s">
        <v>831</v>
      </c>
    </row>
    <row r="37" spans="1:9" x14ac:dyDescent="0.3">
      <c r="A37">
        <v>2018</v>
      </c>
      <c r="B37" t="s">
        <v>8</v>
      </c>
      <c r="C37">
        <v>24850</v>
      </c>
      <c r="D37" t="s">
        <v>12</v>
      </c>
      <c r="E37" t="s">
        <v>15</v>
      </c>
      <c r="F37" t="s">
        <v>13</v>
      </c>
      <c r="G37">
        <v>1</v>
      </c>
      <c r="H37" s="9">
        <v>21390</v>
      </c>
      <c r="I37" t="s">
        <v>829</v>
      </c>
    </row>
    <row r="38" spans="1:9" x14ac:dyDescent="0.3">
      <c r="A38">
        <v>2022</v>
      </c>
      <c r="B38" t="s">
        <v>8</v>
      </c>
      <c r="C38">
        <v>10250</v>
      </c>
      <c r="D38" t="s">
        <v>12</v>
      </c>
      <c r="E38" t="s">
        <v>10</v>
      </c>
      <c r="F38" t="s">
        <v>13</v>
      </c>
      <c r="G38">
        <v>1</v>
      </c>
      <c r="H38" s="9">
        <v>21210</v>
      </c>
      <c r="I38" t="s">
        <v>828</v>
      </c>
    </row>
    <row r="39" spans="1:9" x14ac:dyDescent="0.3">
      <c r="A39">
        <v>2021</v>
      </c>
      <c r="B39" t="s">
        <v>8</v>
      </c>
      <c r="C39">
        <v>22451</v>
      </c>
      <c r="D39" t="s">
        <v>12</v>
      </c>
      <c r="E39" t="s">
        <v>10</v>
      </c>
      <c r="F39" t="s">
        <v>13</v>
      </c>
      <c r="G39">
        <v>2</v>
      </c>
      <c r="H39" s="9">
        <v>21200</v>
      </c>
      <c r="I39" t="s">
        <v>829</v>
      </c>
    </row>
    <row r="40" spans="1:9" x14ac:dyDescent="0.3">
      <c r="A40">
        <v>2021</v>
      </c>
      <c r="B40" t="s">
        <v>8</v>
      </c>
      <c r="C40">
        <v>22214</v>
      </c>
      <c r="D40" t="s">
        <v>12</v>
      </c>
      <c r="E40" t="s">
        <v>10</v>
      </c>
      <c r="F40" t="s">
        <v>13</v>
      </c>
      <c r="G40">
        <v>1</v>
      </c>
      <c r="H40" s="9">
        <v>21100</v>
      </c>
      <c r="I40" t="s">
        <v>829</v>
      </c>
    </row>
    <row r="41" spans="1:9" x14ac:dyDescent="0.3">
      <c r="A41">
        <v>2020</v>
      </c>
      <c r="B41" t="s">
        <v>8</v>
      </c>
      <c r="C41">
        <v>20322</v>
      </c>
      <c r="D41" t="s">
        <v>12</v>
      </c>
      <c r="E41" t="s">
        <v>15</v>
      </c>
      <c r="F41" t="s">
        <v>13</v>
      </c>
      <c r="G41">
        <v>2</v>
      </c>
      <c r="H41" s="9">
        <v>21000</v>
      </c>
      <c r="I41" t="s">
        <v>830</v>
      </c>
    </row>
    <row r="42" spans="1:9" x14ac:dyDescent="0.3">
      <c r="A42">
        <v>2020</v>
      </c>
      <c r="B42" t="s">
        <v>8</v>
      </c>
      <c r="C42">
        <v>15187</v>
      </c>
      <c r="D42" t="s">
        <v>12</v>
      </c>
      <c r="E42" t="s">
        <v>10</v>
      </c>
      <c r="F42" t="s">
        <v>13</v>
      </c>
      <c r="G42">
        <v>1</v>
      </c>
      <c r="H42" s="9">
        <v>21000</v>
      </c>
      <c r="I42" t="s">
        <v>831</v>
      </c>
    </row>
    <row r="43" spans="1:9" x14ac:dyDescent="0.3">
      <c r="A43">
        <v>2019</v>
      </c>
      <c r="B43" t="s">
        <v>8</v>
      </c>
      <c r="C43">
        <v>22199</v>
      </c>
      <c r="D43" t="s">
        <v>18</v>
      </c>
      <c r="E43" t="s">
        <v>15</v>
      </c>
      <c r="F43" t="s">
        <v>13</v>
      </c>
      <c r="G43">
        <v>2</v>
      </c>
      <c r="H43" s="9">
        <v>20999</v>
      </c>
      <c r="I43" t="s">
        <v>830</v>
      </c>
    </row>
    <row r="44" spans="1:9" x14ac:dyDescent="0.3">
      <c r="A44">
        <v>2020</v>
      </c>
      <c r="B44" t="s">
        <v>8</v>
      </c>
      <c r="C44">
        <v>17634</v>
      </c>
      <c r="D44" t="s">
        <v>12</v>
      </c>
      <c r="E44" t="s">
        <v>15</v>
      </c>
      <c r="F44" t="s">
        <v>13</v>
      </c>
      <c r="G44">
        <v>2</v>
      </c>
      <c r="H44" s="9">
        <v>20995</v>
      </c>
      <c r="I44" t="s">
        <v>829</v>
      </c>
    </row>
    <row r="45" spans="1:9" x14ac:dyDescent="0.3">
      <c r="A45">
        <v>2019</v>
      </c>
      <c r="B45" t="s">
        <v>8</v>
      </c>
      <c r="C45">
        <v>30000</v>
      </c>
      <c r="D45" t="s">
        <v>17</v>
      </c>
      <c r="E45" t="s">
        <v>10</v>
      </c>
      <c r="F45" t="s">
        <v>13</v>
      </c>
      <c r="G45">
        <v>1</v>
      </c>
      <c r="H45" s="9">
        <v>20745</v>
      </c>
      <c r="I45" t="s">
        <v>830</v>
      </c>
    </row>
    <row r="46" spans="1:9" x14ac:dyDescent="0.3">
      <c r="A46">
        <v>2019</v>
      </c>
      <c r="B46" t="s">
        <v>8</v>
      </c>
      <c r="C46">
        <v>11411</v>
      </c>
      <c r="D46" t="s">
        <v>17</v>
      </c>
      <c r="E46" t="s">
        <v>10</v>
      </c>
      <c r="F46" t="s">
        <v>13</v>
      </c>
      <c r="G46">
        <v>2</v>
      </c>
      <c r="H46" s="9">
        <v>20629</v>
      </c>
      <c r="I46" t="s">
        <v>828</v>
      </c>
    </row>
    <row r="47" spans="1:9" x14ac:dyDescent="0.3">
      <c r="A47">
        <v>2020</v>
      </c>
      <c r="B47" t="s">
        <v>8</v>
      </c>
      <c r="C47">
        <v>16019</v>
      </c>
      <c r="D47" t="s">
        <v>12</v>
      </c>
      <c r="E47" t="s">
        <v>15</v>
      </c>
      <c r="F47" t="s">
        <v>13</v>
      </c>
      <c r="G47">
        <v>1</v>
      </c>
      <c r="H47" s="9">
        <v>20555</v>
      </c>
      <c r="I47" t="s">
        <v>830</v>
      </c>
    </row>
    <row r="48" spans="1:9" x14ac:dyDescent="0.3">
      <c r="A48">
        <v>2020</v>
      </c>
      <c r="B48" t="s">
        <v>8</v>
      </c>
      <c r="C48">
        <v>20671</v>
      </c>
      <c r="D48" t="s">
        <v>12</v>
      </c>
      <c r="E48" t="s">
        <v>15</v>
      </c>
      <c r="F48" t="s">
        <v>13</v>
      </c>
      <c r="G48">
        <v>2</v>
      </c>
      <c r="H48" s="9">
        <v>20500</v>
      </c>
      <c r="I48" t="s">
        <v>828</v>
      </c>
    </row>
    <row r="49" spans="1:9" x14ac:dyDescent="0.3">
      <c r="A49">
        <v>2019</v>
      </c>
      <c r="B49" t="s">
        <v>8</v>
      </c>
      <c r="C49">
        <v>19495</v>
      </c>
      <c r="D49" t="s">
        <v>17</v>
      </c>
      <c r="E49" t="s">
        <v>10</v>
      </c>
      <c r="F49" t="s">
        <v>13</v>
      </c>
      <c r="G49">
        <v>2</v>
      </c>
      <c r="H49" s="9">
        <v>20499</v>
      </c>
      <c r="I49" t="s">
        <v>828</v>
      </c>
    </row>
    <row r="50" spans="1:9" x14ac:dyDescent="0.3">
      <c r="A50">
        <v>2021</v>
      </c>
      <c r="B50" t="s">
        <v>8</v>
      </c>
      <c r="C50">
        <v>780</v>
      </c>
      <c r="D50" t="s">
        <v>12</v>
      </c>
      <c r="E50" t="s">
        <v>10</v>
      </c>
      <c r="F50" t="s">
        <v>13</v>
      </c>
      <c r="G50">
        <v>1</v>
      </c>
      <c r="H50" s="9">
        <v>20495</v>
      </c>
      <c r="I50" t="s">
        <v>829</v>
      </c>
    </row>
    <row r="51" spans="1:9" x14ac:dyDescent="0.3">
      <c r="A51">
        <v>2018</v>
      </c>
      <c r="B51" t="s">
        <v>8</v>
      </c>
      <c r="C51">
        <v>2688</v>
      </c>
      <c r="D51" t="s">
        <v>14</v>
      </c>
      <c r="E51" t="s">
        <v>15</v>
      </c>
      <c r="F51" t="s">
        <v>13</v>
      </c>
      <c r="G51">
        <v>2</v>
      </c>
      <c r="H51" s="9">
        <v>20495</v>
      </c>
      <c r="I51" t="s">
        <v>831</v>
      </c>
    </row>
    <row r="52" spans="1:9" x14ac:dyDescent="0.3">
      <c r="A52">
        <v>2019</v>
      </c>
      <c r="B52" t="s">
        <v>8</v>
      </c>
      <c r="C52">
        <v>76923</v>
      </c>
      <c r="D52" t="s">
        <v>17</v>
      </c>
      <c r="E52" t="s">
        <v>15</v>
      </c>
      <c r="F52" t="s">
        <v>13</v>
      </c>
      <c r="G52">
        <v>1</v>
      </c>
      <c r="H52" s="9">
        <v>20490</v>
      </c>
      <c r="I52" t="s">
        <v>830</v>
      </c>
    </row>
    <row r="53" spans="1:9" x14ac:dyDescent="0.3">
      <c r="A53">
        <v>2022</v>
      </c>
      <c r="B53" t="s">
        <v>8</v>
      </c>
      <c r="C53">
        <v>16555</v>
      </c>
      <c r="D53" t="s">
        <v>12</v>
      </c>
      <c r="E53" t="s">
        <v>10</v>
      </c>
      <c r="F53" t="s">
        <v>13</v>
      </c>
      <c r="G53">
        <v>1</v>
      </c>
      <c r="H53" s="9">
        <v>20490</v>
      </c>
      <c r="I53" t="s">
        <v>830</v>
      </c>
    </row>
    <row r="54" spans="1:9" x14ac:dyDescent="0.3">
      <c r="A54">
        <v>2019</v>
      </c>
      <c r="B54" t="s">
        <v>8</v>
      </c>
      <c r="C54">
        <v>15817</v>
      </c>
      <c r="D54" t="s">
        <v>17</v>
      </c>
      <c r="E54" t="s">
        <v>10</v>
      </c>
      <c r="F54" t="s">
        <v>13</v>
      </c>
      <c r="G54">
        <v>1</v>
      </c>
      <c r="H54" s="9">
        <v>20470</v>
      </c>
      <c r="I54" t="s">
        <v>830</v>
      </c>
    </row>
    <row r="55" spans="1:9" x14ac:dyDescent="0.3">
      <c r="A55">
        <v>2020</v>
      </c>
      <c r="B55" t="s">
        <v>8</v>
      </c>
      <c r="C55">
        <v>18725</v>
      </c>
      <c r="D55" t="s">
        <v>12</v>
      </c>
      <c r="E55" t="s">
        <v>15</v>
      </c>
      <c r="F55" t="s">
        <v>13</v>
      </c>
      <c r="G55">
        <v>1</v>
      </c>
      <c r="H55" s="9">
        <v>20399</v>
      </c>
      <c r="I55" t="s">
        <v>829</v>
      </c>
    </row>
    <row r="56" spans="1:9" x14ac:dyDescent="0.3">
      <c r="A56">
        <v>2019</v>
      </c>
      <c r="B56" t="s">
        <v>8</v>
      </c>
      <c r="C56">
        <v>11972</v>
      </c>
      <c r="D56" t="s">
        <v>12</v>
      </c>
      <c r="E56" t="s">
        <v>15</v>
      </c>
      <c r="F56" t="s">
        <v>13</v>
      </c>
      <c r="G56">
        <v>1</v>
      </c>
      <c r="H56" s="9">
        <v>20300</v>
      </c>
      <c r="I56" t="s">
        <v>829</v>
      </c>
    </row>
    <row r="57" spans="1:9" x14ac:dyDescent="0.3">
      <c r="A57">
        <v>2019</v>
      </c>
      <c r="B57" t="s">
        <v>8</v>
      </c>
      <c r="C57">
        <v>31822</v>
      </c>
      <c r="D57" t="s">
        <v>12</v>
      </c>
      <c r="E57" t="s">
        <v>15</v>
      </c>
      <c r="F57" t="s">
        <v>13</v>
      </c>
      <c r="G57">
        <v>1</v>
      </c>
      <c r="H57" s="9">
        <v>20150</v>
      </c>
      <c r="I57" t="s">
        <v>828</v>
      </c>
    </row>
    <row r="58" spans="1:9" x14ac:dyDescent="0.3">
      <c r="A58">
        <v>2019</v>
      </c>
      <c r="B58" t="s">
        <v>8</v>
      </c>
      <c r="C58">
        <v>8803</v>
      </c>
      <c r="D58" t="s">
        <v>12</v>
      </c>
      <c r="E58" t="s">
        <v>10</v>
      </c>
      <c r="F58" t="s">
        <v>13</v>
      </c>
      <c r="G58">
        <v>1</v>
      </c>
      <c r="H58" s="9">
        <v>20095</v>
      </c>
      <c r="I58" t="s">
        <v>830</v>
      </c>
    </row>
    <row r="59" spans="1:9" x14ac:dyDescent="0.3">
      <c r="A59">
        <v>2019</v>
      </c>
      <c r="B59" t="s">
        <v>8</v>
      </c>
      <c r="C59">
        <v>32136</v>
      </c>
      <c r="D59" t="s">
        <v>17</v>
      </c>
      <c r="E59" t="s">
        <v>10</v>
      </c>
      <c r="F59" t="s">
        <v>13</v>
      </c>
      <c r="G59">
        <v>1</v>
      </c>
      <c r="H59" s="9">
        <v>20000</v>
      </c>
      <c r="I59" t="s">
        <v>831</v>
      </c>
    </row>
    <row r="60" spans="1:9" x14ac:dyDescent="0.3">
      <c r="A60">
        <v>2020</v>
      </c>
      <c r="B60" t="s">
        <v>8</v>
      </c>
      <c r="C60">
        <v>17567</v>
      </c>
      <c r="D60" t="s">
        <v>12</v>
      </c>
      <c r="E60" t="s">
        <v>10</v>
      </c>
      <c r="F60" t="s">
        <v>13</v>
      </c>
      <c r="G60">
        <v>1</v>
      </c>
      <c r="H60" s="9">
        <v>19999</v>
      </c>
      <c r="I60" t="s">
        <v>829</v>
      </c>
    </row>
    <row r="61" spans="1:9" x14ac:dyDescent="0.3">
      <c r="A61">
        <v>2019</v>
      </c>
      <c r="B61" t="s">
        <v>8</v>
      </c>
      <c r="C61">
        <v>16200</v>
      </c>
      <c r="D61" t="s">
        <v>12</v>
      </c>
      <c r="E61" t="s">
        <v>10</v>
      </c>
      <c r="F61" t="s">
        <v>13</v>
      </c>
      <c r="G61">
        <v>1</v>
      </c>
      <c r="H61" s="9">
        <v>19995</v>
      </c>
      <c r="I61" t="s">
        <v>828</v>
      </c>
    </row>
    <row r="62" spans="1:9" x14ac:dyDescent="0.3">
      <c r="A62">
        <v>2019</v>
      </c>
      <c r="B62" t="s">
        <v>8</v>
      </c>
      <c r="C62">
        <v>24023</v>
      </c>
      <c r="D62" t="s">
        <v>17</v>
      </c>
      <c r="E62" t="s">
        <v>15</v>
      </c>
      <c r="F62" t="s">
        <v>13</v>
      </c>
      <c r="G62">
        <v>2</v>
      </c>
      <c r="H62" s="9">
        <v>19990</v>
      </c>
      <c r="I62" t="s">
        <v>829</v>
      </c>
    </row>
    <row r="63" spans="1:9" x14ac:dyDescent="0.3">
      <c r="A63">
        <v>2019</v>
      </c>
      <c r="B63" t="s">
        <v>8</v>
      </c>
      <c r="C63">
        <v>21066</v>
      </c>
      <c r="D63" t="s">
        <v>17</v>
      </c>
      <c r="E63" t="s">
        <v>10</v>
      </c>
      <c r="F63" t="s">
        <v>13</v>
      </c>
      <c r="G63">
        <v>2</v>
      </c>
      <c r="H63" s="9">
        <v>19990</v>
      </c>
      <c r="I63" t="s">
        <v>829</v>
      </c>
    </row>
    <row r="64" spans="1:9" x14ac:dyDescent="0.3">
      <c r="A64">
        <v>2021</v>
      </c>
      <c r="B64" t="s">
        <v>8</v>
      </c>
      <c r="C64">
        <v>2108</v>
      </c>
      <c r="D64" t="s">
        <v>12</v>
      </c>
      <c r="E64" t="s">
        <v>10</v>
      </c>
      <c r="F64" t="s">
        <v>13</v>
      </c>
      <c r="G64">
        <v>1</v>
      </c>
      <c r="H64" s="9">
        <v>19990</v>
      </c>
      <c r="I64" t="s">
        <v>830</v>
      </c>
    </row>
    <row r="65" spans="1:9" x14ac:dyDescent="0.3">
      <c r="A65">
        <v>2020</v>
      </c>
      <c r="B65" t="s">
        <v>8</v>
      </c>
      <c r="C65">
        <v>16866</v>
      </c>
      <c r="D65" t="s">
        <v>12</v>
      </c>
      <c r="E65" t="s">
        <v>15</v>
      </c>
      <c r="F65" t="s">
        <v>13</v>
      </c>
      <c r="G65">
        <v>1</v>
      </c>
      <c r="H65" s="9">
        <v>19990</v>
      </c>
      <c r="I65" t="s">
        <v>831</v>
      </c>
    </row>
    <row r="66" spans="1:9" x14ac:dyDescent="0.3">
      <c r="A66">
        <v>2020</v>
      </c>
      <c r="B66" t="s">
        <v>8</v>
      </c>
      <c r="C66">
        <v>9584</v>
      </c>
      <c r="D66" t="s">
        <v>12</v>
      </c>
      <c r="E66" t="s">
        <v>10</v>
      </c>
      <c r="F66" t="s">
        <v>13</v>
      </c>
      <c r="G66">
        <v>1</v>
      </c>
      <c r="H66" s="9">
        <v>19970</v>
      </c>
      <c r="I66" t="s">
        <v>830</v>
      </c>
    </row>
    <row r="67" spans="1:9" x14ac:dyDescent="0.3">
      <c r="A67">
        <v>2020</v>
      </c>
      <c r="B67" t="s">
        <v>8</v>
      </c>
      <c r="C67">
        <v>24950</v>
      </c>
      <c r="D67" t="s">
        <v>12</v>
      </c>
      <c r="E67" t="s">
        <v>10</v>
      </c>
      <c r="F67" t="s">
        <v>13</v>
      </c>
      <c r="G67">
        <v>1</v>
      </c>
      <c r="H67" s="9">
        <v>19799</v>
      </c>
      <c r="I67" t="s">
        <v>829</v>
      </c>
    </row>
    <row r="68" spans="1:9" x14ac:dyDescent="0.3">
      <c r="A68">
        <v>2020</v>
      </c>
      <c r="B68" t="s">
        <v>8</v>
      </c>
      <c r="C68">
        <v>16257</v>
      </c>
      <c r="D68" t="s">
        <v>12</v>
      </c>
      <c r="E68" t="s">
        <v>10</v>
      </c>
      <c r="F68" t="s">
        <v>13</v>
      </c>
      <c r="G68">
        <v>1</v>
      </c>
      <c r="H68" s="9">
        <v>19790</v>
      </c>
      <c r="I68" t="s">
        <v>830</v>
      </c>
    </row>
    <row r="69" spans="1:9" x14ac:dyDescent="0.3">
      <c r="A69">
        <v>2019</v>
      </c>
      <c r="B69" t="s">
        <v>8</v>
      </c>
      <c r="C69">
        <v>13456</v>
      </c>
      <c r="D69" t="s">
        <v>12</v>
      </c>
      <c r="E69" t="s">
        <v>10</v>
      </c>
      <c r="F69" t="s">
        <v>13</v>
      </c>
      <c r="G69">
        <v>1</v>
      </c>
      <c r="H69" s="9">
        <v>19750</v>
      </c>
      <c r="I69" t="s">
        <v>828</v>
      </c>
    </row>
    <row r="70" spans="1:9" x14ac:dyDescent="0.3">
      <c r="A70">
        <v>2019</v>
      </c>
      <c r="B70" t="s">
        <v>8</v>
      </c>
      <c r="C70">
        <v>23390</v>
      </c>
      <c r="D70" t="s">
        <v>12</v>
      </c>
      <c r="E70" t="s">
        <v>10</v>
      </c>
      <c r="F70" t="s">
        <v>13</v>
      </c>
      <c r="G70">
        <v>1</v>
      </c>
      <c r="H70" s="9">
        <v>19610</v>
      </c>
      <c r="I70" t="s">
        <v>830</v>
      </c>
    </row>
    <row r="71" spans="1:9" x14ac:dyDescent="0.3">
      <c r="A71">
        <v>2019</v>
      </c>
      <c r="B71" t="s">
        <v>8</v>
      </c>
      <c r="C71">
        <v>29100</v>
      </c>
      <c r="D71" t="s">
        <v>12</v>
      </c>
      <c r="E71" t="s">
        <v>15</v>
      </c>
      <c r="F71" t="s">
        <v>13</v>
      </c>
      <c r="G71">
        <v>1</v>
      </c>
      <c r="H71" s="9">
        <v>19500</v>
      </c>
      <c r="I71" t="s">
        <v>828</v>
      </c>
    </row>
    <row r="72" spans="1:9" x14ac:dyDescent="0.3">
      <c r="A72">
        <v>2019</v>
      </c>
      <c r="B72" t="s">
        <v>8</v>
      </c>
      <c r="C72">
        <v>14236</v>
      </c>
      <c r="D72" t="s">
        <v>12</v>
      </c>
      <c r="E72" t="s">
        <v>10</v>
      </c>
      <c r="F72" t="s">
        <v>13</v>
      </c>
      <c r="G72">
        <v>1</v>
      </c>
      <c r="H72" s="9">
        <v>19499</v>
      </c>
      <c r="I72" t="s">
        <v>828</v>
      </c>
    </row>
    <row r="73" spans="1:9" x14ac:dyDescent="0.3">
      <c r="A73">
        <v>2020</v>
      </c>
      <c r="B73" t="s">
        <v>8</v>
      </c>
      <c r="C73">
        <v>25300</v>
      </c>
      <c r="D73" t="s">
        <v>12</v>
      </c>
      <c r="E73" t="s">
        <v>10</v>
      </c>
      <c r="F73" t="s">
        <v>13</v>
      </c>
      <c r="G73">
        <v>1</v>
      </c>
      <c r="H73" s="9">
        <v>19495</v>
      </c>
      <c r="I73" t="s">
        <v>829</v>
      </c>
    </row>
    <row r="74" spans="1:9" x14ac:dyDescent="0.3">
      <c r="A74">
        <v>2019</v>
      </c>
      <c r="B74" t="s">
        <v>8</v>
      </c>
      <c r="C74">
        <v>7981</v>
      </c>
      <c r="D74" t="s">
        <v>12</v>
      </c>
      <c r="E74" t="s">
        <v>10</v>
      </c>
      <c r="F74" t="s">
        <v>13</v>
      </c>
      <c r="G74">
        <v>1</v>
      </c>
      <c r="H74" s="9">
        <v>19470</v>
      </c>
      <c r="I74" t="s">
        <v>831</v>
      </c>
    </row>
    <row r="75" spans="1:9" x14ac:dyDescent="0.3">
      <c r="A75">
        <v>2019</v>
      </c>
      <c r="B75" t="s">
        <v>8</v>
      </c>
      <c r="C75">
        <v>18487</v>
      </c>
      <c r="D75" t="s">
        <v>12</v>
      </c>
      <c r="E75" t="s">
        <v>10</v>
      </c>
      <c r="F75" t="s">
        <v>13</v>
      </c>
      <c r="G75">
        <v>1</v>
      </c>
      <c r="H75" s="9">
        <v>19399</v>
      </c>
      <c r="I75" t="s">
        <v>830</v>
      </c>
    </row>
    <row r="76" spans="1:9" x14ac:dyDescent="0.3">
      <c r="A76">
        <v>2019</v>
      </c>
      <c r="B76" t="s">
        <v>8</v>
      </c>
      <c r="C76">
        <v>55805</v>
      </c>
      <c r="D76" t="s">
        <v>12</v>
      </c>
      <c r="E76" t="s">
        <v>15</v>
      </c>
      <c r="F76" t="s">
        <v>13</v>
      </c>
      <c r="G76">
        <v>1</v>
      </c>
      <c r="H76" s="9">
        <v>19299</v>
      </c>
      <c r="I76" t="s">
        <v>830</v>
      </c>
    </row>
    <row r="77" spans="1:9" x14ac:dyDescent="0.3">
      <c r="A77">
        <v>2019</v>
      </c>
      <c r="B77" t="s">
        <v>8</v>
      </c>
      <c r="C77">
        <v>28000</v>
      </c>
      <c r="D77" t="s">
        <v>12</v>
      </c>
      <c r="E77" t="s">
        <v>15</v>
      </c>
      <c r="F77" t="s">
        <v>13</v>
      </c>
      <c r="G77">
        <v>1</v>
      </c>
      <c r="H77" s="9">
        <v>19143</v>
      </c>
      <c r="I77" t="s">
        <v>830</v>
      </c>
    </row>
    <row r="78" spans="1:9" x14ac:dyDescent="0.3">
      <c r="A78">
        <v>2019</v>
      </c>
      <c r="B78" t="s">
        <v>8</v>
      </c>
      <c r="C78">
        <v>32877</v>
      </c>
      <c r="D78" t="s">
        <v>12</v>
      </c>
      <c r="E78" t="s">
        <v>10</v>
      </c>
      <c r="F78" t="s">
        <v>13</v>
      </c>
      <c r="G78">
        <v>1</v>
      </c>
      <c r="H78" s="9">
        <v>18999</v>
      </c>
      <c r="I78" t="s">
        <v>829</v>
      </c>
    </row>
    <row r="79" spans="1:9" x14ac:dyDescent="0.3">
      <c r="A79">
        <v>2019</v>
      </c>
      <c r="B79" t="s">
        <v>8</v>
      </c>
      <c r="C79">
        <v>53400</v>
      </c>
      <c r="D79" t="s">
        <v>12</v>
      </c>
      <c r="E79" t="s">
        <v>15</v>
      </c>
      <c r="F79" t="s">
        <v>13</v>
      </c>
      <c r="G79">
        <v>1</v>
      </c>
      <c r="H79" s="9">
        <v>18995</v>
      </c>
      <c r="I79" t="s">
        <v>829</v>
      </c>
    </row>
    <row r="80" spans="1:9" x14ac:dyDescent="0.3">
      <c r="A80">
        <v>2020</v>
      </c>
      <c r="B80" t="s">
        <v>8</v>
      </c>
      <c r="C80">
        <v>9500</v>
      </c>
      <c r="D80" t="s">
        <v>12</v>
      </c>
      <c r="E80" t="s">
        <v>10</v>
      </c>
      <c r="F80" t="s">
        <v>13</v>
      </c>
      <c r="G80">
        <v>1</v>
      </c>
      <c r="H80" s="9">
        <v>18995</v>
      </c>
      <c r="I80" t="s">
        <v>828</v>
      </c>
    </row>
    <row r="81" spans="1:9" x14ac:dyDescent="0.3">
      <c r="A81">
        <v>2019</v>
      </c>
      <c r="B81" t="s">
        <v>8</v>
      </c>
      <c r="C81">
        <v>17900</v>
      </c>
      <c r="D81" t="s">
        <v>12</v>
      </c>
      <c r="E81" t="s">
        <v>10</v>
      </c>
      <c r="F81" t="s">
        <v>13</v>
      </c>
      <c r="G81">
        <v>1</v>
      </c>
      <c r="H81" s="9">
        <v>18995</v>
      </c>
      <c r="I81" t="s">
        <v>830</v>
      </c>
    </row>
    <row r="82" spans="1:9" x14ac:dyDescent="0.3">
      <c r="A82">
        <v>2020</v>
      </c>
      <c r="B82" t="s">
        <v>8</v>
      </c>
      <c r="C82">
        <v>51000</v>
      </c>
      <c r="D82" t="s">
        <v>12</v>
      </c>
      <c r="E82" t="s">
        <v>10</v>
      </c>
      <c r="F82" t="s">
        <v>13</v>
      </c>
      <c r="G82">
        <v>1</v>
      </c>
      <c r="H82" s="9">
        <v>18994</v>
      </c>
      <c r="I82" t="s">
        <v>831</v>
      </c>
    </row>
    <row r="83" spans="1:9" x14ac:dyDescent="0.3">
      <c r="A83">
        <v>2019</v>
      </c>
      <c r="B83" t="s">
        <v>8</v>
      </c>
      <c r="C83">
        <v>29000</v>
      </c>
      <c r="D83" t="s">
        <v>12</v>
      </c>
      <c r="E83" t="s">
        <v>15</v>
      </c>
      <c r="F83" t="s">
        <v>13</v>
      </c>
      <c r="G83">
        <v>2</v>
      </c>
      <c r="H83" s="9">
        <v>18990</v>
      </c>
      <c r="I83" t="s">
        <v>829</v>
      </c>
    </row>
    <row r="84" spans="1:9" x14ac:dyDescent="0.3">
      <c r="A84">
        <v>2019</v>
      </c>
      <c r="B84" t="s">
        <v>8</v>
      </c>
      <c r="C84">
        <v>13681</v>
      </c>
      <c r="D84" t="s">
        <v>12</v>
      </c>
      <c r="E84" t="s">
        <v>10</v>
      </c>
      <c r="F84" t="s">
        <v>13</v>
      </c>
      <c r="G84">
        <v>1</v>
      </c>
      <c r="H84" s="9">
        <v>18990</v>
      </c>
      <c r="I84" t="s">
        <v>828</v>
      </c>
    </row>
    <row r="85" spans="1:9" x14ac:dyDescent="0.3">
      <c r="A85">
        <v>2020</v>
      </c>
      <c r="B85" t="s">
        <v>8</v>
      </c>
      <c r="C85">
        <v>10428</v>
      </c>
      <c r="D85" t="s">
        <v>12</v>
      </c>
      <c r="E85" t="s">
        <v>10</v>
      </c>
      <c r="F85" t="s">
        <v>13</v>
      </c>
      <c r="G85">
        <v>1</v>
      </c>
      <c r="H85" s="9">
        <v>18989</v>
      </c>
      <c r="I85" t="s">
        <v>829</v>
      </c>
    </row>
    <row r="86" spans="1:9" x14ac:dyDescent="0.3">
      <c r="A86">
        <v>2019</v>
      </c>
      <c r="B86" t="s">
        <v>8</v>
      </c>
      <c r="C86">
        <v>19868</v>
      </c>
      <c r="D86" t="s">
        <v>12</v>
      </c>
      <c r="E86" t="s">
        <v>10</v>
      </c>
      <c r="F86" t="s">
        <v>13</v>
      </c>
      <c r="G86">
        <v>2</v>
      </c>
      <c r="H86" s="9">
        <v>18989</v>
      </c>
      <c r="I86" t="s">
        <v>829</v>
      </c>
    </row>
    <row r="87" spans="1:9" x14ac:dyDescent="0.3">
      <c r="A87">
        <v>2019</v>
      </c>
      <c r="B87" t="s">
        <v>8</v>
      </c>
      <c r="C87">
        <v>35423</v>
      </c>
      <c r="D87" t="s">
        <v>17</v>
      </c>
      <c r="E87" t="s">
        <v>10</v>
      </c>
      <c r="F87" t="s">
        <v>13</v>
      </c>
      <c r="G87">
        <v>1</v>
      </c>
      <c r="H87" s="9">
        <v>18800</v>
      </c>
      <c r="I87" t="s">
        <v>830</v>
      </c>
    </row>
    <row r="88" spans="1:9" x14ac:dyDescent="0.3">
      <c r="A88">
        <v>2020</v>
      </c>
      <c r="B88" t="s">
        <v>8</v>
      </c>
      <c r="C88">
        <v>35251</v>
      </c>
      <c r="D88" t="s">
        <v>12</v>
      </c>
      <c r="E88" t="s">
        <v>10</v>
      </c>
      <c r="F88" t="s">
        <v>13</v>
      </c>
      <c r="G88">
        <v>1</v>
      </c>
      <c r="H88" s="9">
        <v>18800</v>
      </c>
      <c r="I88" t="s">
        <v>831</v>
      </c>
    </row>
    <row r="89" spans="1:9" x14ac:dyDescent="0.3">
      <c r="A89">
        <v>2020</v>
      </c>
      <c r="B89" t="s">
        <v>8</v>
      </c>
      <c r="C89">
        <v>10719</v>
      </c>
      <c r="D89" t="s">
        <v>12</v>
      </c>
      <c r="E89" t="s">
        <v>10</v>
      </c>
      <c r="F89" t="s">
        <v>13</v>
      </c>
      <c r="G89">
        <v>1</v>
      </c>
      <c r="H89" s="9">
        <v>18699</v>
      </c>
      <c r="I89" t="s">
        <v>830</v>
      </c>
    </row>
    <row r="90" spans="1:9" x14ac:dyDescent="0.3">
      <c r="A90">
        <v>2021</v>
      </c>
      <c r="B90" t="s">
        <v>8</v>
      </c>
      <c r="C90">
        <v>12714</v>
      </c>
      <c r="D90" t="s">
        <v>12</v>
      </c>
      <c r="E90" t="s">
        <v>10</v>
      </c>
      <c r="F90" t="s">
        <v>13</v>
      </c>
      <c r="G90">
        <v>1</v>
      </c>
      <c r="H90" s="9">
        <v>18640</v>
      </c>
      <c r="I90" t="s">
        <v>829</v>
      </c>
    </row>
    <row r="91" spans="1:9" x14ac:dyDescent="0.3">
      <c r="A91">
        <v>2020</v>
      </c>
      <c r="B91" t="s">
        <v>8</v>
      </c>
      <c r="C91">
        <v>8476</v>
      </c>
      <c r="D91" t="s">
        <v>12</v>
      </c>
      <c r="E91" t="s">
        <v>10</v>
      </c>
      <c r="F91" t="s">
        <v>13</v>
      </c>
      <c r="G91">
        <v>1</v>
      </c>
      <c r="H91" s="9">
        <v>18600</v>
      </c>
      <c r="I91" t="s">
        <v>830</v>
      </c>
    </row>
    <row r="92" spans="1:9" x14ac:dyDescent="0.3">
      <c r="A92">
        <v>2019</v>
      </c>
      <c r="B92" t="s">
        <v>8</v>
      </c>
      <c r="C92">
        <v>41400</v>
      </c>
      <c r="D92" t="s">
        <v>12</v>
      </c>
      <c r="E92" t="s">
        <v>15</v>
      </c>
      <c r="F92" t="s">
        <v>13</v>
      </c>
      <c r="G92">
        <v>1</v>
      </c>
      <c r="H92" s="9">
        <v>18580</v>
      </c>
      <c r="I92" t="s">
        <v>828</v>
      </c>
    </row>
    <row r="93" spans="1:9" x14ac:dyDescent="0.3">
      <c r="A93">
        <v>2020</v>
      </c>
      <c r="B93" t="s">
        <v>8</v>
      </c>
      <c r="C93">
        <v>24420</v>
      </c>
      <c r="D93" t="s">
        <v>12</v>
      </c>
      <c r="E93" t="s">
        <v>10</v>
      </c>
      <c r="F93" t="s">
        <v>13</v>
      </c>
      <c r="G93">
        <v>2</v>
      </c>
      <c r="H93" s="9">
        <v>18500</v>
      </c>
      <c r="I93" t="s">
        <v>830</v>
      </c>
    </row>
    <row r="94" spans="1:9" x14ac:dyDescent="0.3">
      <c r="A94">
        <v>2019</v>
      </c>
      <c r="B94" t="s">
        <v>8</v>
      </c>
      <c r="C94">
        <v>26350</v>
      </c>
      <c r="D94" t="s">
        <v>12</v>
      </c>
      <c r="E94" t="s">
        <v>15</v>
      </c>
      <c r="F94" t="s">
        <v>13</v>
      </c>
      <c r="G94">
        <v>1</v>
      </c>
      <c r="H94" s="9">
        <v>18495</v>
      </c>
      <c r="I94" t="s">
        <v>828</v>
      </c>
    </row>
    <row r="95" spans="1:9" x14ac:dyDescent="0.3">
      <c r="A95">
        <v>2020</v>
      </c>
      <c r="B95" t="s">
        <v>8</v>
      </c>
      <c r="C95">
        <v>26218</v>
      </c>
      <c r="D95" t="s">
        <v>12</v>
      </c>
      <c r="E95" t="s">
        <v>10</v>
      </c>
      <c r="F95" t="s">
        <v>13</v>
      </c>
      <c r="G95">
        <v>1</v>
      </c>
      <c r="H95" s="9">
        <v>18495</v>
      </c>
      <c r="I95" t="s">
        <v>828</v>
      </c>
    </row>
    <row r="96" spans="1:9" x14ac:dyDescent="0.3">
      <c r="A96">
        <v>2019</v>
      </c>
      <c r="B96" t="s">
        <v>8</v>
      </c>
      <c r="C96">
        <v>20203</v>
      </c>
      <c r="D96" t="s">
        <v>12</v>
      </c>
      <c r="E96" t="s">
        <v>10</v>
      </c>
      <c r="F96" t="s">
        <v>13</v>
      </c>
      <c r="G96">
        <v>1</v>
      </c>
      <c r="H96" s="9">
        <v>18470</v>
      </c>
      <c r="I96" t="s">
        <v>829</v>
      </c>
    </row>
    <row r="97" spans="1:9" x14ac:dyDescent="0.3">
      <c r="A97">
        <v>2019</v>
      </c>
      <c r="B97" t="s">
        <v>8</v>
      </c>
      <c r="C97">
        <v>10847</v>
      </c>
      <c r="D97" t="s">
        <v>12</v>
      </c>
      <c r="E97" t="s">
        <v>10</v>
      </c>
      <c r="F97" t="s">
        <v>13</v>
      </c>
      <c r="G97">
        <v>2</v>
      </c>
      <c r="H97" s="9">
        <v>18395</v>
      </c>
      <c r="I97" t="s">
        <v>831</v>
      </c>
    </row>
    <row r="98" spans="1:9" x14ac:dyDescent="0.3">
      <c r="A98">
        <v>2019</v>
      </c>
      <c r="B98" t="s">
        <v>8</v>
      </c>
      <c r="C98">
        <v>25488</v>
      </c>
      <c r="D98" t="s">
        <v>17</v>
      </c>
      <c r="E98" t="s">
        <v>10</v>
      </c>
      <c r="F98" t="s">
        <v>13</v>
      </c>
      <c r="G98">
        <v>1</v>
      </c>
      <c r="H98" s="9">
        <v>18380</v>
      </c>
      <c r="I98" t="s">
        <v>830</v>
      </c>
    </row>
    <row r="99" spans="1:9" x14ac:dyDescent="0.3">
      <c r="A99">
        <v>2019</v>
      </c>
      <c r="B99" t="s">
        <v>8</v>
      </c>
      <c r="C99">
        <v>32160</v>
      </c>
      <c r="D99" t="s">
        <v>12</v>
      </c>
      <c r="E99" t="s">
        <v>10</v>
      </c>
      <c r="F99" t="s">
        <v>13</v>
      </c>
      <c r="G99">
        <v>1</v>
      </c>
      <c r="H99" s="9">
        <v>18300</v>
      </c>
      <c r="I99" t="s">
        <v>830</v>
      </c>
    </row>
    <row r="100" spans="1:9" x14ac:dyDescent="0.3">
      <c r="A100">
        <v>2019</v>
      </c>
      <c r="B100" t="s">
        <v>8</v>
      </c>
      <c r="C100">
        <v>19000</v>
      </c>
      <c r="D100" t="s">
        <v>12</v>
      </c>
      <c r="E100" t="s">
        <v>10</v>
      </c>
      <c r="F100" t="s">
        <v>13</v>
      </c>
      <c r="G100">
        <v>2</v>
      </c>
      <c r="H100" s="9">
        <v>18295</v>
      </c>
      <c r="I100" t="s">
        <v>830</v>
      </c>
    </row>
    <row r="101" spans="1:9" x14ac:dyDescent="0.3">
      <c r="A101">
        <v>2019</v>
      </c>
      <c r="B101" t="s">
        <v>8</v>
      </c>
      <c r="C101">
        <v>61845</v>
      </c>
      <c r="D101" t="s">
        <v>12</v>
      </c>
      <c r="E101" t="s">
        <v>15</v>
      </c>
      <c r="F101" t="s">
        <v>13</v>
      </c>
      <c r="G101">
        <v>2</v>
      </c>
      <c r="H101" s="9">
        <v>18000</v>
      </c>
      <c r="I101" t="s">
        <v>829</v>
      </c>
    </row>
    <row r="102" spans="1:9" x14ac:dyDescent="0.3">
      <c r="A102">
        <v>2020</v>
      </c>
      <c r="B102" t="s">
        <v>8</v>
      </c>
      <c r="C102">
        <v>10993</v>
      </c>
      <c r="D102" t="s">
        <v>12</v>
      </c>
      <c r="E102" t="s">
        <v>10</v>
      </c>
      <c r="F102" t="s">
        <v>13</v>
      </c>
      <c r="G102">
        <v>1</v>
      </c>
      <c r="H102" s="9">
        <v>18000</v>
      </c>
      <c r="I102" t="s">
        <v>829</v>
      </c>
    </row>
    <row r="103" spans="1:9" x14ac:dyDescent="0.3">
      <c r="A103">
        <v>2020</v>
      </c>
      <c r="B103" t="s">
        <v>8</v>
      </c>
      <c r="C103">
        <v>34643</v>
      </c>
      <c r="D103" t="s">
        <v>12</v>
      </c>
      <c r="E103" t="s">
        <v>10</v>
      </c>
      <c r="F103" t="s">
        <v>13</v>
      </c>
      <c r="G103">
        <v>1</v>
      </c>
      <c r="H103" s="9">
        <v>18000</v>
      </c>
      <c r="I103" t="s">
        <v>828</v>
      </c>
    </row>
    <row r="104" spans="1:9" x14ac:dyDescent="0.3">
      <c r="A104">
        <v>2020</v>
      </c>
      <c r="B104" t="s">
        <v>8</v>
      </c>
      <c r="C104">
        <v>19000</v>
      </c>
      <c r="D104" t="s">
        <v>12</v>
      </c>
      <c r="E104" t="s">
        <v>10</v>
      </c>
      <c r="F104" t="s">
        <v>13</v>
      </c>
      <c r="G104">
        <v>1</v>
      </c>
      <c r="H104" s="9">
        <v>17999</v>
      </c>
      <c r="I104" t="s">
        <v>830</v>
      </c>
    </row>
    <row r="105" spans="1:9" x14ac:dyDescent="0.3">
      <c r="A105">
        <v>2018</v>
      </c>
      <c r="B105" t="s">
        <v>8</v>
      </c>
      <c r="C105">
        <v>36000</v>
      </c>
      <c r="D105" t="s">
        <v>12</v>
      </c>
      <c r="E105" t="s">
        <v>10</v>
      </c>
      <c r="F105" t="s">
        <v>13</v>
      </c>
      <c r="G105">
        <v>1</v>
      </c>
      <c r="H105" s="9">
        <v>17995</v>
      </c>
      <c r="I105" t="s">
        <v>831</v>
      </c>
    </row>
    <row r="106" spans="1:9" x14ac:dyDescent="0.3">
      <c r="A106">
        <v>2019</v>
      </c>
      <c r="B106" t="s">
        <v>8</v>
      </c>
      <c r="C106">
        <v>37822</v>
      </c>
      <c r="D106" t="s">
        <v>17</v>
      </c>
      <c r="E106" t="s">
        <v>15</v>
      </c>
      <c r="F106" t="s">
        <v>13</v>
      </c>
      <c r="G106">
        <v>2</v>
      </c>
      <c r="H106" s="9">
        <v>17995</v>
      </c>
      <c r="I106" t="s">
        <v>829</v>
      </c>
    </row>
    <row r="107" spans="1:9" x14ac:dyDescent="0.3">
      <c r="A107">
        <v>2020</v>
      </c>
      <c r="B107" t="s">
        <v>8</v>
      </c>
      <c r="C107">
        <v>14779</v>
      </c>
      <c r="D107" t="s">
        <v>12</v>
      </c>
      <c r="E107" t="s">
        <v>10</v>
      </c>
      <c r="F107" t="s">
        <v>13</v>
      </c>
      <c r="G107">
        <v>1</v>
      </c>
      <c r="H107" s="9">
        <v>17990</v>
      </c>
      <c r="I107" t="s">
        <v>828</v>
      </c>
    </row>
    <row r="108" spans="1:9" x14ac:dyDescent="0.3">
      <c r="A108">
        <v>2020</v>
      </c>
      <c r="B108" t="s">
        <v>8</v>
      </c>
      <c r="C108">
        <v>4050</v>
      </c>
      <c r="D108" t="s">
        <v>12</v>
      </c>
      <c r="E108" t="s">
        <v>10</v>
      </c>
      <c r="F108" t="s">
        <v>13</v>
      </c>
      <c r="G108">
        <v>1</v>
      </c>
      <c r="H108" s="9">
        <v>17990</v>
      </c>
      <c r="I108" t="s">
        <v>829</v>
      </c>
    </row>
    <row r="109" spans="1:9" x14ac:dyDescent="0.3">
      <c r="A109">
        <v>2020</v>
      </c>
      <c r="B109" t="s">
        <v>8</v>
      </c>
      <c r="C109">
        <v>33549</v>
      </c>
      <c r="D109" t="s">
        <v>12</v>
      </c>
      <c r="E109" t="s">
        <v>10</v>
      </c>
      <c r="F109" t="s">
        <v>13</v>
      </c>
      <c r="G109">
        <v>1</v>
      </c>
      <c r="H109" s="9">
        <v>17990</v>
      </c>
      <c r="I109" t="s">
        <v>829</v>
      </c>
    </row>
    <row r="110" spans="1:9" x14ac:dyDescent="0.3">
      <c r="A110">
        <v>2019</v>
      </c>
      <c r="B110" t="s">
        <v>8</v>
      </c>
      <c r="C110">
        <v>13730</v>
      </c>
      <c r="D110" t="s">
        <v>12</v>
      </c>
      <c r="E110" t="s">
        <v>10</v>
      </c>
      <c r="F110" t="s">
        <v>13</v>
      </c>
      <c r="G110">
        <v>1</v>
      </c>
      <c r="H110" s="9">
        <v>17989</v>
      </c>
      <c r="I110" t="s">
        <v>830</v>
      </c>
    </row>
    <row r="111" spans="1:9" x14ac:dyDescent="0.3">
      <c r="A111">
        <v>2019</v>
      </c>
      <c r="B111" t="s">
        <v>8</v>
      </c>
      <c r="C111">
        <v>15476</v>
      </c>
      <c r="D111" t="s">
        <v>12</v>
      </c>
      <c r="E111" t="s">
        <v>10</v>
      </c>
      <c r="F111" t="s">
        <v>13</v>
      </c>
      <c r="G111">
        <v>1</v>
      </c>
      <c r="H111" s="9">
        <v>17970</v>
      </c>
      <c r="I111" t="s">
        <v>831</v>
      </c>
    </row>
    <row r="112" spans="1:9" x14ac:dyDescent="0.3">
      <c r="A112">
        <v>2019</v>
      </c>
      <c r="B112" t="s">
        <v>8</v>
      </c>
      <c r="C112">
        <v>20600</v>
      </c>
      <c r="D112" t="s">
        <v>12</v>
      </c>
      <c r="E112" t="s">
        <v>10</v>
      </c>
      <c r="F112" t="s">
        <v>13</v>
      </c>
      <c r="G112">
        <v>1</v>
      </c>
      <c r="H112" s="9">
        <v>17950</v>
      </c>
      <c r="I112" t="s">
        <v>830</v>
      </c>
    </row>
    <row r="113" spans="1:9" x14ac:dyDescent="0.3">
      <c r="A113">
        <v>2019</v>
      </c>
      <c r="B113" t="s">
        <v>8</v>
      </c>
      <c r="C113">
        <v>17442</v>
      </c>
      <c r="D113" t="s">
        <v>12</v>
      </c>
      <c r="E113" t="s">
        <v>10</v>
      </c>
      <c r="F113" t="s">
        <v>13</v>
      </c>
      <c r="G113">
        <v>1</v>
      </c>
      <c r="H113" s="9">
        <v>17790</v>
      </c>
      <c r="I113" t="s">
        <v>829</v>
      </c>
    </row>
    <row r="114" spans="1:9" x14ac:dyDescent="0.3">
      <c r="A114">
        <v>2019</v>
      </c>
      <c r="B114" t="s">
        <v>8</v>
      </c>
      <c r="C114">
        <v>25789</v>
      </c>
      <c r="D114" t="s">
        <v>17</v>
      </c>
      <c r="E114" t="s">
        <v>10</v>
      </c>
      <c r="F114" t="s">
        <v>13</v>
      </c>
      <c r="G114">
        <v>3</v>
      </c>
      <c r="H114" s="9">
        <v>17750</v>
      </c>
      <c r="I114" t="s">
        <v>830</v>
      </c>
    </row>
    <row r="115" spans="1:9" x14ac:dyDescent="0.3">
      <c r="A115">
        <v>2019</v>
      </c>
      <c r="B115" t="s">
        <v>8</v>
      </c>
      <c r="C115">
        <v>13290</v>
      </c>
      <c r="D115" t="s">
        <v>17</v>
      </c>
      <c r="E115" t="s">
        <v>10</v>
      </c>
      <c r="F115" t="s">
        <v>13</v>
      </c>
      <c r="G115">
        <v>1</v>
      </c>
      <c r="H115" s="9">
        <v>17690</v>
      </c>
      <c r="I115" t="s">
        <v>828</v>
      </c>
    </row>
    <row r="116" spans="1:9" x14ac:dyDescent="0.3">
      <c r="A116">
        <v>2019</v>
      </c>
      <c r="B116" t="s">
        <v>8</v>
      </c>
      <c r="C116">
        <v>2642</v>
      </c>
      <c r="D116" t="s">
        <v>12</v>
      </c>
      <c r="E116" t="s">
        <v>10</v>
      </c>
      <c r="F116" t="s">
        <v>13</v>
      </c>
      <c r="G116">
        <v>1</v>
      </c>
      <c r="H116" s="9">
        <v>17499</v>
      </c>
      <c r="I116" t="s">
        <v>830</v>
      </c>
    </row>
    <row r="117" spans="1:9" x14ac:dyDescent="0.3">
      <c r="A117">
        <v>2020</v>
      </c>
      <c r="B117" t="s">
        <v>8</v>
      </c>
      <c r="C117">
        <v>35533</v>
      </c>
      <c r="D117" t="s">
        <v>12</v>
      </c>
      <c r="E117" t="s">
        <v>10</v>
      </c>
      <c r="F117" t="s">
        <v>13</v>
      </c>
      <c r="G117">
        <v>1</v>
      </c>
      <c r="H117" s="9">
        <v>17495</v>
      </c>
      <c r="I117" t="s">
        <v>828</v>
      </c>
    </row>
    <row r="118" spans="1:9" x14ac:dyDescent="0.3">
      <c r="A118">
        <v>2019</v>
      </c>
      <c r="B118" t="s">
        <v>8</v>
      </c>
      <c r="C118">
        <v>34000</v>
      </c>
      <c r="D118" t="s">
        <v>12</v>
      </c>
      <c r="E118" t="s">
        <v>15</v>
      </c>
      <c r="F118" t="s">
        <v>13</v>
      </c>
      <c r="G118">
        <v>1</v>
      </c>
      <c r="H118" s="9">
        <v>17495</v>
      </c>
      <c r="I118" t="s">
        <v>828</v>
      </c>
    </row>
    <row r="119" spans="1:9" x14ac:dyDescent="0.3">
      <c r="A119">
        <v>2019</v>
      </c>
      <c r="B119" t="s">
        <v>8</v>
      </c>
      <c r="C119">
        <v>36107</v>
      </c>
      <c r="D119" t="s">
        <v>12</v>
      </c>
      <c r="E119" t="s">
        <v>10</v>
      </c>
      <c r="F119" t="s">
        <v>13</v>
      </c>
      <c r="G119">
        <v>1</v>
      </c>
      <c r="H119" s="9">
        <v>17495</v>
      </c>
      <c r="I119" t="s">
        <v>829</v>
      </c>
    </row>
    <row r="120" spans="1:9" x14ac:dyDescent="0.3">
      <c r="A120">
        <v>2019</v>
      </c>
      <c r="B120" t="s">
        <v>8</v>
      </c>
      <c r="C120">
        <v>20000</v>
      </c>
      <c r="D120" t="s">
        <v>12</v>
      </c>
      <c r="E120" t="s">
        <v>10</v>
      </c>
      <c r="F120" t="s">
        <v>13</v>
      </c>
      <c r="G120">
        <v>1</v>
      </c>
      <c r="H120" s="9">
        <v>17495</v>
      </c>
      <c r="I120" t="s">
        <v>831</v>
      </c>
    </row>
    <row r="121" spans="1:9" x14ac:dyDescent="0.3">
      <c r="A121">
        <v>2019</v>
      </c>
      <c r="B121" t="s">
        <v>8</v>
      </c>
      <c r="C121">
        <v>31925</v>
      </c>
      <c r="D121" t="s">
        <v>12</v>
      </c>
      <c r="E121" t="s">
        <v>10</v>
      </c>
      <c r="F121" t="s">
        <v>13</v>
      </c>
      <c r="G121">
        <v>2</v>
      </c>
      <c r="H121" s="9">
        <v>17495</v>
      </c>
      <c r="I121" t="s">
        <v>830</v>
      </c>
    </row>
    <row r="122" spans="1:9" x14ac:dyDescent="0.3">
      <c r="A122">
        <v>2018</v>
      </c>
      <c r="B122" t="s">
        <v>8</v>
      </c>
      <c r="C122">
        <v>19511</v>
      </c>
      <c r="D122" t="s">
        <v>14</v>
      </c>
      <c r="E122" t="s">
        <v>15</v>
      </c>
      <c r="F122" t="s">
        <v>13</v>
      </c>
      <c r="G122">
        <v>1</v>
      </c>
      <c r="H122" s="9">
        <v>17490</v>
      </c>
      <c r="I122" t="s">
        <v>830</v>
      </c>
    </row>
    <row r="123" spans="1:9" x14ac:dyDescent="0.3">
      <c r="A123">
        <v>2019</v>
      </c>
      <c r="B123" t="s">
        <v>8</v>
      </c>
      <c r="C123">
        <v>37777</v>
      </c>
      <c r="D123" t="s">
        <v>12</v>
      </c>
      <c r="E123" t="s">
        <v>10</v>
      </c>
      <c r="F123" t="s">
        <v>13</v>
      </c>
      <c r="G123">
        <v>1</v>
      </c>
      <c r="H123" s="9">
        <v>17421</v>
      </c>
      <c r="I123" t="s">
        <v>830</v>
      </c>
    </row>
    <row r="124" spans="1:9" x14ac:dyDescent="0.3">
      <c r="A124">
        <v>2018</v>
      </c>
      <c r="B124" t="s">
        <v>8</v>
      </c>
      <c r="C124">
        <v>37853</v>
      </c>
      <c r="D124" t="s">
        <v>12</v>
      </c>
      <c r="E124" t="s">
        <v>10</v>
      </c>
      <c r="F124" t="s">
        <v>13</v>
      </c>
      <c r="G124">
        <v>2</v>
      </c>
      <c r="H124" s="9">
        <v>17295</v>
      </c>
      <c r="I124" t="s">
        <v>829</v>
      </c>
    </row>
    <row r="125" spans="1:9" x14ac:dyDescent="0.3">
      <c r="A125">
        <v>2018</v>
      </c>
      <c r="B125" t="s">
        <v>8</v>
      </c>
      <c r="C125">
        <v>25822</v>
      </c>
      <c r="D125" t="s">
        <v>12</v>
      </c>
      <c r="E125" t="s">
        <v>10</v>
      </c>
      <c r="F125" t="s">
        <v>13</v>
      </c>
      <c r="G125">
        <v>1</v>
      </c>
      <c r="H125" s="9">
        <v>17200</v>
      </c>
      <c r="I125" t="s">
        <v>829</v>
      </c>
    </row>
    <row r="126" spans="1:9" x14ac:dyDescent="0.3">
      <c r="A126">
        <v>2019</v>
      </c>
      <c r="B126" t="s">
        <v>8</v>
      </c>
      <c r="C126">
        <v>12107</v>
      </c>
      <c r="D126" t="s">
        <v>12</v>
      </c>
      <c r="E126" t="s">
        <v>10</v>
      </c>
      <c r="F126" t="s">
        <v>13</v>
      </c>
      <c r="G126">
        <v>1</v>
      </c>
      <c r="H126" s="9">
        <v>17198</v>
      </c>
      <c r="I126" t="s">
        <v>828</v>
      </c>
    </row>
    <row r="127" spans="1:9" x14ac:dyDescent="0.3">
      <c r="A127">
        <v>2019</v>
      </c>
      <c r="B127" t="s">
        <v>8</v>
      </c>
      <c r="C127">
        <v>17303</v>
      </c>
      <c r="D127" t="s">
        <v>12</v>
      </c>
      <c r="E127" t="s">
        <v>10</v>
      </c>
      <c r="F127" t="s">
        <v>13</v>
      </c>
      <c r="G127">
        <v>1</v>
      </c>
      <c r="H127" s="9">
        <v>17195</v>
      </c>
      <c r="I127" t="s">
        <v>830</v>
      </c>
    </row>
    <row r="128" spans="1:9" x14ac:dyDescent="0.3">
      <c r="A128">
        <v>2019</v>
      </c>
      <c r="B128" t="s">
        <v>8</v>
      </c>
      <c r="C128">
        <v>10045</v>
      </c>
      <c r="D128" t="s">
        <v>12</v>
      </c>
      <c r="E128" t="s">
        <v>10</v>
      </c>
      <c r="F128" t="s">
        <v>13</v>
      </c>
      <c r="G128">
        <v>1</v>
      </c>
      <c r="H128" s="9">
        <v>17100</v>
      </c>
      <c r="I128" t="s">
        <v>831</v>
      </c>
    </row>
    <row r="129" spans="1:9" x14ac:dyDescent="0.3">
      <c r="A129">
        <v>2019</v>
      </c>
      <c r="B129" t="s">
        <v>8</v>
      </c>
      <c r="C129">
        <v>20593</v>
      </c>
      <c r="D129" t="s">
        <v>12</v>
      </c>
      <c r="E129" t="s">
        <v>10</v>
      </c>
      <c r="F129" t="s">
        <v>13</v>
      </c>
      <c r="G129">
        <v>1</v>
      </c>
      <c r="H129" s="9">
        <v>17000</v>
      </c>
      <c r="I129" t="s">
        <v>829</v>
      </c>
    </row>
    <row r="130" spans="1:9" x14ac:dyDescent="0.3">
      <c r="A130">
        <v>2018</v>
      </c>
      <c r="B130" t="s">
        <v>8</v>
      </c>
      <c r="C130">
        <v>17000</v>
      </c>
      <c r="D130" t="s">
        <v>14</v>
      </c>
      <c r="E130" t="s">
        <v>10</v>
      </c>
      <c r="F130" t="s">
        <v>13</v>
      </c>
      <c r="G130">
        <v>2</v>
      </c>
      <c r="H130" s="9">
        <v>16990</v>
      </c>
      <c r="I130" t="s">
        <v>828</v>
      </c>
    </row>
    <row r="131" spans="1:9" x14ac:dyDescent="0.3">
      <c r="A131">
        <v>2018</v>
      </c>
      <c r="B131" t="s">
        <v>8</v>
      </c>
      <c r="C131">
        <v>16459</v>
      </c>
      <c r="D131" t="s">
        <v>14</v>
      </c>
      <c r="E131" t="s">
        <v>15</v>
      </c>
      <c r="F131" t="s">
        <v>13</v>
      </c>
      <c r="G131">
        <v>1</v>
      </c>
      <c r="H131" s="9">
        <v>16985</v>
      </c>
      <c r="I131" t="s">
        <v>829</v>
      </c>
    </row>
    <row r="132" spans="1:9" x14ac:dyDescent="0.3">
      <c r="A132">
        <v>2020</v>
      </c>
      <c r="B132" t="s">
        <v>8</v>
      </c>
      <c r="C132">
        <v>20101</v>
      </c>
      <c r="D132" t="s">
        <v>12</v>
      </c>
      <c r="E132" t="s">
        <v>10</v>
      </c>
      <c r="F132" t="s">
        <v>13</v>
      </c>
      <c r="G132">
        <v>1</v>
      </c>
      <c r="H132" s="9">
        <v>16970</v>
      </c>
      <c r="I132" t="s">
        <v>829</v>
      </c>
    </row>
    <row r="133" spans="1:9" x14ac:dyDescent="0.3">
      <c r="A133">
        <v>2019</v>
      </c>
      <c r="B133" t="s">
        <v>8</v>
      </c>
      <c r="C133">
        <v>40465</v>
      </c>
      <c r="D133" t="s">
        <v>12</v>
      </c>
      <c r="E133" t="s">
        <v>10</v>
      </c>
      <c r="F133" t="s">
        <v>13</v>
      </c>
      <c r="G133">
        <v>1</v>
      </c>
      <c r="H133" s="9">
        <v>16900</v>
      </c>
      <c r="I133" t="s">
        <v>830</v>
      </c>
    </row>
    <row r="134" spans="1:9" x14ac:dyDescent="0.3">
      <c r="A134">
        <v>2019</v>
      </c>
      <c r="B134" t="s">
        <v>8</v>
      </c>
      <c r="C134">
        <v>24119</v>
      </c>
      <c r="D134" t="s">
        <v>12</v>
      </c>
      <c r="E134" t="s">
        <v>10</v>
      </c>
      <c r="F134" t="s">
        <v>13</v>
      </c>
      <c r="G134">
        <v>1</v>
      </c>
      <c r="H134" s="9">
        <v>16850</v>
      </c>
      <c r="I134" t="s">
        <v>831</v>
      </c>
    </row>
    <row r="135" spans="1:9" x14ac:dyDescent="0.3">
      <c r="A135">
        <v>2018</v>
      </c>
      <c r="B135" t="s">
        <v>8</v>
      </c>
      <c r="C135">
        <v>28897</v>
      </c>
      <c r="D135" t="s">
        <v>14</v>
      </c>
      <c r="E135" t="s">
        <v>10</v>
      </c>
      <c r="F135" t="s">
        <v>13</v>
      </c>
      <c r="G135">
        <v>1</v>
      </c>
      <c r="H135" s="9">
        <v>16847</v>
      </c>
      <c r="I135" t="s">
        <v>830</v>
      </c>
    </row>
    <row r="136" spans="1:9" x14ac:dyDescent="0.3">
      <c r="A136">
        <v>2018</v>
      </c>
      <c r="B136" t="s">
        <v>8</v>
      </c>
      <c r="C136">
        <v>9890</v>
      </c>
      <c r="D136" t="s">
        <v>14</v>
      </c>
      <c r="E136" t="s">
        <v>15</v>
      </c>
      <c r="F136" t="s">
        <v>13</v>
      </c>
      <c r="G136">
        <v>1</v>
      </c>
      <c r="H136" s="9">
        <v>16700</v>
      </c>
      <c r="I136" t="s">
        <v>829</v>
      </c>
    </row>
    <row r="137" spans="1:9" x14ac:dyDescent="0.3">
      <c r="A137">
        <v>2020</v>
      </c>
      <c r="B137" t="s">
        <v>8</v>
      </c>
      <c r="C137">
        <v>7145</v>
      </c>
      <c r="D137" t="s">
        <v>12</v>
      </c>
      <c r="E137" t="s">
        <v>10</v>
      </c>
      <c r="F137" t="s">
        <v>13</v>
      </c>
      <c r="G137">
        <v>1</v>
      </c>
      <c r="H137" s="9">
        <v>16700</v>
      </c>
      <c r="I137" t="s">
        <v>830</v>
      </c>
    </row>
    <row r="138" spans="1:9" x14ac:dyDescent="0.3">
      <c r="A138">
        <v>2017</v>
      </c>
      <c r="B138" t="s">
        <v>8</v>
      </c>
      <c r="C138">
        <v>37000</v>
      </c>
      <c r="D138" t="s">
        <v>14</v>
      </c>
      <c r="E138" t="s">
        <v>15</v>
      </c>
      <c r="F138" t="s">
        <v>13</v>
      </c>
      <c r="G138">
        <v>2</v>
      </c>
      <c r="H138" s="9">
        <v>16699</v>
      </c>
      <c r="I138" t="s">
        <v>828</v>
      </c>
    </row>
    <row r="139" spans="1:9" x14ac:dyDescent="0.3">
      <c r="A139">
        <v>2019</v>
      </c>
      <c r="B139" t="s">
        <v>8</v>
      </c>
      <c r="C139">
        <v>40778</v>
      </c>
      <c r="D139" t="s">
        <v>12</v>
      </c>
      <c r="E139" t="s">
        <v>10</v>
      </c>
      <c r="F139" t="s">
        <v>13</v>
      </c>
      <c r="G139">
        <v>1</v>
      </c>
      <c r="H139" s="9">
        <v>16698</v>
      </c>
      <c r="I139" t="s">
        <v>830</v>
      </c>
    </row>
    <row r="140" spans="1:9" x14ac:dyDescent="0.3">
      <c r="A140">
        <v>2019</v>
      </c>
      <c r="B140" t="s">
        <v>8</v>
      </c>
      <c r="C140">
        <v>26404</v>
      </c>
      <c r="D140" t="s">
        <v>12</v>
      </c>
      <c r="E140" t="s">
        <v>10</v>
      </c>
      <c r="F140" t="s">
        <v>13</v>
      </c>
      <c r="G140">
        <v>1</v>
      </c>
      <c r="H140" s="9">
        <v>16689</v>
      </c>
      <c r="I140" t="s">
        <v>828</v>
      </c>
    </row>
    <row r="141" spans="1:9" x14ac:dyDescent="0.3">
      <c r="A141">
        <v>2017</v>
      </c>
      <c r="B141" t="s">
        <v>8</v>
      </c>
      <c r="C141">
        <v>40000</v>
      </c>
      <c r="D141" t="s">
        <v>14</v>
      </c>
      <c r="E141" t="s">
        <v>10</v>
      </c>
      <c r="F141" t="s">
        <v>13</v>
      </c>
      <c r="G141">
        <v>2</v>
      </c>
      <c r="H141" s="9">
        <v>16680</v>
      </c>
      <c r="I141" t="s">
        <v>828</v>
      </c>
    </row>
    <row r="142" spans="1:9" x14ac:dyDescent="0.3">
      <c r="A142">
        <v>2018</v>
      </c>
      <c r="B142" t="s">
        <v>8</v>
      </c>
      <c r="C142">
        <v>36389</v>
      </c>
      <c r="D142" t="s">
        <v>14</v>
      </c>
      <c r="E142" t="s">
        <v>15</v>
      </c>
      <c r="F142" t="s">
        <v>13</v>
      </c>
      <c r="G142">
        <v>2</v>
      </c>
      <c r="H142" s="9">
        <v>16495</v>
      </c>
      <c r="I142" t="s">
        <v>829</v>
      </c>
    </row>
    <row r="143" spans="1:9" x14ac:dyDescent="0.3">
      <c r="A143">
        <v>2019</v>
      </c>
      <c r="B143" t="s">
        <v>8</v>
      </c>
      <c r="C143">
        <v>35828</v>
      </c>
      <c r="D143" t="s">
        <v>12</v>
      </c>
      <c r="E143" t="s">
        <v>10</v>
      </c>
      <c r="F143" t="s">
        <v>13</v>
      </c>
      <c r="G143">
        <v>1</v>
      </c>
      <c r="H143" s="9">
        <v>16300</v>
      </c>
      <c r="I143" t="s">
        <v>831</v>
      </c>
    </row>
    <row r="144" spans="1:9" x14ac:dyDescent="0.3">
      <c r="A144">
        <v>2019</v>
      </c>
      <c r="B144" t="s">
        <v>8</v>
      </c>
      <c r="C144">
        <v>21137</v>
      </c>
      <c r="D144" t="s">
        <v>12</v>
      </c>
      <c r="E144" t="s">
        <v>10</v>
      </c>
      <c r="F144" t="s">
        <v>13</v>
      </c>
      <c r="G144">
        <v>1</v>
      </c>
      <c r="H144" s="9">
        <v>16300</v>
      </c>
      <c r="I144" t="s">
        <v>830</v>
      </c>
    </row>
    <row r="145" spans="1:9" x14ac:dyDescent="0.3">
      <c r="A145">
        <v>2019</v>
      </c>
      <c r="B145" t="s">
        <v>8</v>
      </c>
      <c r="C145">
        <v>28342</v>
      </c>
      <c r="D145" t="s">
        <v>12</v>
      </c>
      <c r="E145" t="s">
        <v>10</v>
      </c>
      <c r="F145" t="s">
        <v>13</v>
      </c>
      <c r="G145">
        <v>2</v>
      </c>
      <c r="H145" s="9">
        <v>16250</v>
      </c>
      <c r="I145" t="s">
        <v>830</v>
      </c>
    </row>
    <row r="146" spans="1:9" x14ac:dyDescent="0.3">
      <c r="A146">
        <v>2018</v>
      </c>
      <c r="B146" t="s">
        <v>8</v>
      </c>
      <c r="C146">
        <v>20642</v>
      </c>
      <c r="D146" t="s">
        <v>12</v>
      </c>
      <c r="E146" t="s">
        <v>15</v>
      </c>
      <c r="F146" t="s">
        <v>13</v>
      </c>
      <c r="G146">
        <v>1</v>
      </c>
      <c r="H146" s="9">
        <v>16200</v>
      </c>
      <c r="I146" t="s">
        <v>830</v>
      </c>
    </row>
    <row r="147" spans="1:9" x14ac:dyDescent="0.3">
      <c r="A147">
        <v>2017</v>
      </c>
      <c r="B147" t="s">
        <v>8</v>
      </c>
      <c r="C147">
        <v>26373</v>
      </c>
      <c r="D147" t="s">
        <v>14</v>
      </c>
      <c r="E147" t="s">
        <v>15</v>
      </c>
      <c r="F147" t="s">
        <v>13</v>
      </c>
      <c r="G147">
        <v>1</v>
      </c>
      <c r="H147" s="9">
        <v>15999</v>
      </c>
      <c r="I147" t="s">
        <v>829</v>
      </c>
    </row>
    <row r="148" spans="1:9" x14ac:dyDescent="0.3">
      <c r="A148">
        <v>2017</v>
      </c>
      <c r="B148" t="s">
        <v>8</v>
      </c>
      <c r="C148">
        <v>31579</v>
      </c>
      <c r="D148" t="s">
        <v>9</v>
      </c>
      <c r="E148" t="s">
        <v>15</v>
      </c>
      <c r="F148" t="s">
        <v>11</v>
      </c>
      <c r="G148">
        <v>1</v>
      </c>
      <c r="H148" s="9">
        <v>15995</v>
      </c>
      <c r="I148" t="s">
        <v>829</v>
      </c>
    </row>
    <row r="149" spans="1:9" x14ac:dyDescent="0.3">
      <c r="A149">
        <v>2017</v>
      </c>
      <c r="B149" t="s">
        <v>8</v>
      </c>
      <c r="C149">
        <v>56215</v>
      </c>
      <c r="D149" t="s">
        <v>14</v>
      </c>
      <c r="E149" t="s">
        <v>15</v>
      </c>
      <c r="F149" t="s">
        <v>13</v>
      </c>
      <c r="G149">
        <v>5</v>
      </c>
      <c r="H149" s="9">
        <v>15995</v>
      </c>
      <c r="I149" t="s">
        <v>828</v>
      </c>
    </row>
    <row r="150" spans="1:9" x14ac:dyDescent="0.3">
      <c r="A150">
        <v>2017</v>
      </c>
      <c r="B150" t="s">
        <v>8</v>
      </c>
      <c r="C150">
        <v>23010</v>
      </c>
      <c r="D150" t="s">
        <v>14</v>
      </c>
      <c r="E150" t="s">
        <v>10</v>
      </c>
      <c r="F150" t="s">
        <v>13</v>
      </c>
      <c r="G150">
        <v>1</v>
      </c>
      <c r="H150" s="9">
        <v>15995</v>
      </c>
      <c r="I150" t="s">
        <v>830</v>
      </c>
    </row>
    <row r="151" spans="1:9" x14ac:dyDescent="0.3">
      <c r="A151">
        <v>2019</v>
      </c>
      <c r="B151" t="s">
        <v>8</v>
      </c>
      <c r="C151">
        <v>53019</v>
      </c>
      <c r="D151" t="s">
        <v>12</v>
      </c>
      <c r="E151" t="s">
        <v>10</v>
      </c>
      <c r="F151" t="s">
        <v>13</v>
      </c>
      <c r="G151">
        <v>1</v>
      </c>
      <c r="H151" s="9">
        <v>15990</v>
      </c>
      <c r="I151" t="s">
        <v>831</v>
      </c>
    </row>
    <row r="152" spans="1:9" x14ac:dyDescent="0.3">
      <c r="A152">
        <v>2018</v>
      </c>
      <c r="B152" t="s">
        <v>8</v>
      </c>
      <c r="C152">
        <v>19991</v>
      </c>
      <c r="D152" t="s">
        <v>9</v>
      </c>
      <c r="E152" t="s">
        <v>10</v>
      </c>
      <c r="F152" t="s">
        <v>11</v>
      </c>
      <c r="G152">
        <v>1</v>
      </c>
      <c r="H152" s="9">
        <v>15970</v>
      </c>
      <c r="I152" t="s">
        <v>829</v>
      </c>
    </row>
    <row r="153" spans="1:9" x14ac:dyDescent="0.3">
      <c r="A153">
        <v>2018</v>
      </c>
      <c r="B153" t="s">
        <v>8</v>
      </c>
      <c r="C153">
        <v>27739</v>
      </c>
      <c r="D153" t="s">
        <v>14</v>
      </c>
      <c r="E153" t="s">
        <v>15</v>
      </c>
      <c r="F153" t="s">
        <v>13</v>
      </c>
      <c r="G153">
        <v>1</v>
      </c>
      <c r="H153" s="9">
        <v>15690</v>
      </c>
      <c r="I153" t="s">
        <v>828</v>
      </c>
    </row>
    <row r="154" spans="1:9" x14ac:dyDescent="0.3">
      <c r="A154">
        <v>2017</v>
      </c>
      <c r="B154" t="s">
        <v>8</v>
      </c>
      <c r="C154">
        <v>17126</v>
      </c>
      <c r="D154" t="s">
        <v>14</v>
      </c>
      <c r="E154" t="s">
        <v>15</v>
      </c>
      <c r="F154" t="s">
        <v>13</v>
      </c>
      <c r="G154">
        <v>2</v>
      </c>
      <c r="H154" s="9">
        <v>15643</v>
      </c>
      <c r="I154" t="s">
        <v>829</v>
      </c>
    </row>
    <row r="155" spans="1:9" x14ac:dyDescent="0.3">
      <c r="A155">
        <v>2018</v>
      </c>
      <c r="B155" t="s">
        <v>8</v>
      </c>
      <c r="C155">
        <v>27373</v>
      </c>
      <c r="D155" t="s">
        <v>14</v>
      </c>
      <c r="E155" t="s">
        <v>15</v>
      </c>
      <c r="F155" t="s">
        <v>13</v>
      </c>
      <c r="G155">
        <v>3</v>
      </c>
      <c r="H155" s="9">
        <v>15590</v>
      </c>
      <c r="I155" t="s">
        <v>829</v>
      </c>
    </row>
    <row r="156" spans="1:9" x14ac:dyDescent="0.3">
      <c r="A156">
        <v>2019</v>
      </c>
      <c r="B156" t="s">
        <v>8</v>
      </c>
      <c r="C156">
        <v>47700</v>
      </c>
      <c r="D156" t="s">
        <v>12</v>
      </c>
      <c r="E156" t="s">
        <v>10</v>
      </c>
      <c r="F156" t="s">
        <v>13</v>
      </c>
      <c r="G156">
        <v>1</v>
      </c>
      <c r="H156" s="9">
        <v>15495</v>
      </c>
      <c r="I156" t="s">
        <v>830</v>
      </c>
    </row>
    <row r="157" spans="1:9" x14ac:dyDescent="0.3">
      <c r="A157">
        <v>2019</v>
      </c>
      <c r="B157" t="s">
        <v>8</v>
      </c>
      <c r="C157">
        <v>70332</v>
      </c>
      <c r="D157" t="s">
        <v>12</v>
      </c>
      <c r="E157" t="s">
        <v>10</v>
      </c>
      <c r="F157" t="s">
        <v>13</v>
      </c>
      <c r="G157">
        <v>1</v>
      </c>
      <c r="H157" s="9">
        <v>15356</v>
      </c>
      <c r="I157" t="s">
        <v>831</v>
      </c>
    </row>
    <row r="158" spans="1:9" x14ac:dyDescent="0.3">
      <c r="A158">
        <v>2019</v>
      </c>
      <c r="B158" t="s">
        <v>8</v>
      </c>
      <c r="C158">
        <v>42327</v>
      </c>
      <c r="D158" t="s">
        <v>12</v>
      </c>
      <c r="E158" t="s">
        <v>10</v>
      </c>
      <c r="F158" t="s">
        <v>13</v>
      </c>
      <c r="G158">
        <v>2</v>
      </c>
      <c r="H158" s="9">
        <v>15300</v>
      </c>
      <c r="I158" t="s">
        <v>830</v>
      </c>
    </row>
    <row r="159" spans="1:9" x14ac:dyDescent="0.3">
      <c r="A159">
        <v>2020</v>
      </c>
      <c r="B159" t="s">
        <v>8</v>
      </c>
      <c r="C159">
        <v>57279</v>
      </c>
      <c r="D159" t="s">
        <v>12</v>
      </c>
      <c r="E159" t="s">
        <v>10</v>
      </c>
      <c r="F159" t="s">
        <v>13</v>
      </c>
      <c r="G159">
        <v>1</v>
      </c>
      <c r="H159" s="9">
        <v>15189</v>
      </c>
      <c r="I159" t="s">
        <v>829</v>
      </c>
    </row>
    <row r="160" spans="1:9" x14ac:dyDescent="0.3">
      <c r="A160">
        <v>2019</v>
      </c>
      <c r="B160" t="s">
        <v>8</v>
      </c>
      <c r="C160">
        <v>29126</v>
      </c>
      <c r="D160" t="s">
        <v>12</v>
      </c>
      <c r="E160" t="s">
        <v>10</v>
      </c>
      <c r="F160" t="s">
        <v>13</v>
      </c>
      <c r="G160">
        <v>1</v>
      </c>
      <c r="H160" s="9">
        <v>15043</v>
      </c>
      <c r="I160" t="s">
        <v>830</v>
      </c>
    </row>
    <row r="161" spans="1:9" x14ac:dyDescent="0.3">
      <c r="A161">
        <v>2018</v>
      </c>
      <c r="B161" t="s">
        <v>8</v>
      </c>
      <c r="C161">
        <v>44000</v>
      </c>
      <c r="D161" t="s">
        <v>9</v>
      </c>
      <c r="E161" t="s">
        <v>10</v>
      </c>
      <c r="F161" t="s">
        <v>11</v>
      </c>
      <c r="G161">
        <v>1</v>
      </c>
      <c r="H161" s="9">
        <v>14995</v>
      </c>
      <c r="I161" t="s">
        <v>828</v>
      </c>
    </row>
    <row r="162" spans="1:9" x14ac:dyDescent="0.3">
      <c r="A162">
        <v>2016</v>
      </c>
      <c r="B162" t="s">
        <v>8</v>
      </c>
      <c r="C162">
        <v>52000</v>
      </c>
      <c r="D162" t="s">
        <v>14</v>
      </c>
      <c r="E162" t="s">
        <v>10</v>
      </c>
      <c r="F162" t="s">
        <v>13</v>
      </c>
      <c r="G162">
        <v>2</v>
      </c>
      <c r="H162" s="9">
        <v>14995</v>
      </c>
      <c r="I162" t="s">
        <v>830</v>
      </c>
    </row>
    <row r="163" spans="1:9" x14ac:dyDescent="0.3">
      <c r="A163">
        <v>2016</v>
      </c>
      <c r="B163" t="s">
        <v>8</v>
      </c>
      <c r="C163">
        <v>24854</v>
      </c>
      <c r="D163" t="s">
        <v>9</v>
      </c>
      <c r="E163" t="s">
        <v>10</v>
      </c>
      <c r="F163" t="s">
        <v>11</v>
      </c>
      <c r="G163">
        <v>1</v>
      </c>
      <c r="H163" s="9">
        <v>14995</v>
      </c>
      <c r="I163" t="s">
        <v>828</v>
      </c>
    </row>
    <row r="164" spans="1:9" x14ac:dyDescent="0.3">
      <c r="A164">
        <v>2018</v>
      </c>
      <c r="B164" t="s">
        <v>8</v>
      </c>
      <c r="C164">
        <v>29000</v>
      </c>
      <c r="D164" t="s">
        <v>14</v>
      </c>
      <c r="E164" t="s">
        <v>10</v>
      </c>
      <c r="F164" t="s">
        <v>13</v>
      </c>
      <c r="G164">
        <v>2</v>
      </c>
      <c r="H164" s="9">
        <v>14995</v>
      </c>
      <c r="I164" t="s">
        <v>828</v>
      </c>
    </row>
    <row r="165" spans="1:9" x14ac:dyDescent="0.3">
      <c r="A165">
        <v>2016</v>
      </c>
      <c r="B165" t="s">
        <v>8</v>
      </c>
      <c r="C165">
        <v>26660</v>
      </c>
      <c r="D165" t="s">
        <v>14</v>
      </c>
      <c r="E165" t="s">
        <v>10</v>
      </c>
      <c r="F165" t="s">
        <v>13</v>
      </c>
      <c r="G165">
        <v>1</v>
      </c>
      <c r="H165" s="9">
        <v>14995</v>
      </c>
      <c r="I165" t="s">
        <v>829</v>
      </c>
    </row>
    <row r="166" spans="1:9" x14ac:dyDescent="0.3">
      <c r="A166">
        <v>2017</v>
      </c>
      <c r="B166" t="s">
        <v>8</v>
      </c>
      <c r="C166">
        <v>40266</v>
      </c>
      <c r="D166" t="s">
        <v>14</v>
      </c>
      <c r="E166" t="s">
        <v>15</v>
      </c>
      <c r="F166" t="s">
        <v>13</v>
      </c>
      <c r="G166">
        <v>4</v>
      </c>
      <c r="H166" s="9">
        <v>14990</v>
      </c>
      <c r="I166" t="s">
        <v>831</v>
      </c>
    </row>
    <row r="167" spans="1:9" x14ac:dyDescent="0.3">
      <c r="A167">
        <v>2016</v>
      </c>
      <c r="B167" t="s">
        <v>8</v>
      </c>
      <c r="C167">
        <v>36797</v>
      </c>
      <c r="D167" t="s">
        <v>14</v>
      </c>
      <c r="E167" t="s">
        <v>10</v>
      </c>
      <c r="F167" t="s">
        <v>13</v>
      </c>
      <c r="G167">
        <v>3</v>
      </c>
      <c r="H167" s="9">
        <v>14990</v>
      </c>
      <c r="I167" t="s">
        <v>830</v>
      </c>
    </row>
    <row r="168" spans="1:9" x14ac:dyDescent="0.3">
      <c r="A168">
        <v>2017</v>
      </c>
      <c r="B168" t="s">
        <v>8</v>
      </c>
      <c r="C168">
        <v>21704</v>
      </c>
      <c r="D168" t="s">
        <v>9</v>
      </c>
      <c r="E168" t="s">
        <v>15</v>
      </c>
      <c r="F168" t="s">
        <v>11</v>
      </c>
      <c r="G168">
        <v>1</v>
      </c>
      <c r="H168" s="9">
        <v>14980</v>
      </c>
      <c r="I168" t="s">
        <v>830</v>
      </c>
    </row>
    <row r="169" spans="1:9" x14ac:dyDescent="0.3">
      <c r="A169">
        <v>2018</v>
      </c>
      <c r="B169" t="s">
        <v>8</v>
      </c>
      <c r="C169">
        <v>30500</v>
      </c>
      <c r="D169" t="s">
        <v>14</v>
      </c>
      <c r="E169" t="s">
        <v>15</v>
      </c>
      <c r="F169" t="s">
        <v>13</v>
      </c>
      <c r="G169">
        <v>3</v>
      </c>
      <c r="H169" s="9">
        <v>14974</v>
      </c>
      <c r="I169" t="s">
        <v>830</v>
      </c>
    </row>
    <row r="170" spans="1:9" x14ac:dyDescent="0.3">
      <c r="A170">
        <v>2018</v>
      </c>
      <c r="B170" t="s">
        <v>8</v>
      </c>
      <c r="C170">
        <v>46000</v>
      </c>
      <c r="D170" t="s">
        <v>14</v>
      </c>
      <c r="E170" t="s">
        <v>10</v>
      </c>
      <c r="F170" t="s">
        <v>13</v>
      </c>
      <c r="G170">
        <v>3</v>
      </c>
      <c r="H170" s="9">
        <v>14950</v>
      </c>
      <c r="I170" t="s">
        <v>829</v>
      </c>
    </row>
    <row r="171" spans="1:9" x14ac:dyDescent="0.3">
      <c r="A171">
        <v>2018</v>
      </c>
      <c r="B171" t="s">
        <v>8</v>
      </c>
      <c r="C171">
        <v>25000</v>
      </c>
      <c r="D171" t="s">
        <v>12</v>
      </c>
      <c r="E171" t="s">
        <v>10</v>
      </c>
      <c r="F171" t="s">
        <v>13</v>
      </c>
      <c r="G171">
        <v>2</v>
      </c>
      <c r="H171" s="9">
        <v>14949</v>
      </c>
      <c r="I171" t="s">
        <v>829</v>
      </c>
    </row>
    <row r="172" spans="1:9" x14ac:dyDescent="0.3">
      <c r="A172">
        <v>2018</v>
      </c>
      <c r="B172" t="s">
        <v>8</v>
      </c>
      <c r="C172">
        <v>26754</v>
      </c>
      <c r="D172" t="s">
        <v>14</v>
      </c>
      <c r="E172" t="s">
        <v>10</v>
      </c>
      <c r="F172" t="s">
        <v>13</v>
      </c>
      <c r="G172">
        <v>2</v>
      </c>
      <c r="H172" s="9">
        <v>14900</v>
      </c>
      <c r="I172" t="s">
        <v>828</v>
      </c>
    </row>
    <row r="173" spans="1:9" x14ac:dyDescent="0.3">
      <c r="A173">
        <v>2019</v>
      </c>
      <c r="B173" t="s">
        <v>8</v>
      </c>
      <c r="C173">
        <v>54595</v>
      </c>
      <c r="D173" t="s">
        <v>12</v>
      </c>
      <c r="E173" t="s">
        <v>10</v>
      </c>
      <c r="F173" t="s">
        <v>13</v>
      </c>
      <c r="G173">
        <v>1</v>
      </c>
      <c r="H173" s="9">
        <v>14837</v>
      </c>
      <c r="I173" t="s">
        <v>830</v>
      </c>
    </row>
    <row r="174" spans="1:9" x14ac:dyDescent="0.3">
      <c r="A174">
        <v>2017</v>
      </c>
      <c r="B174" t="s">
        <v>8</v>
      </c>
      <c r="C174">
        <v>20000</v>
      </c>
      <c r="D174" t="s">
        <v>14</v>
      </c>
      <c r="E174" t="s">
        <v>10</v>
      </c>
      <c r="F174" t="s">
        <v>13</v>
      </c>
      <c r="G174">
        <v>1</v>
      </c>
      <c r="H174" s="9">
        <v>14800</v>
      </c>
      <c r="I174" t="s">
        <v>831</v>
      </c>
    </row>
    <row r="175" spans="1:9" x14ac:dyDescent="0.3">
      <c r="A175">
        <v>2017</v>
      </c>
      <c r="B175" t="s">
        <v>8</v>
      </c>
      <c r="C175">
        <v>33000</v>
      </c>
      <c r="D175" t="s">
        <v>9</v>
      </c>
      <c r="E175" t="s">
        <v>10</v>
      </c>
      <c r="F175" t="s">
        <v>11</v>
      </c>
      <c r="G175">
        <v>3</v>
      </c>
      <c r="H175" s="9">
        <v>14795</v>
      </c>
      <c r="I175" t="s">
        <v>829</v>
      </c>
    </row>
    <row r="176" spans="1:9" x14ac:dyDescent="0.3">
      <c r="A176">
        <v>2016</v>
      </c>
      <c r="B176" t="s">
        <v>8</v>
      </c>
      <c r="C176">
        <v>17852</v>
      </c>
      <c r="D176" t="s">
        <v>14</v>
      </c>
      <c r="E176" t="s">
        <v>15</v>
      </c>
      <c r="F176" t="s">
        <v>13</v>
      </c>
      <c r="G176">
        <v>1</v>
      </c>
      <c r="H176" s="9">
        <v>14795</v>
      </c>
      <c r="I176" t="s">
        <v>828</v>
      </c>
    </row>
    <row r="177" spans="1:9" x14ac:dyDescent="0.3">
      <c r="A177">
        <v>2018</v>
      </c>
      <c r="B177" t="s">
        <v>8</v>
      </c>
      <c r="C177">
        <v>51024</v>
      </c>
      <c r="D177" t="s">
        <v>14</v>
      </c>
      <c r="E177" t="s">
        <v>10</v>
      </c>
      <c r="F177" t="s">
        <v>13</v>
      </c>
      <c r="G177">
        <v>3</v>
      </c>
      <c r="H177" s="9">
        <v>14750</v>
      </c>
      <c r="I177" t="s">
        <v>829</v>
      </c>
    </row>
    <row r="178" spans="1:9" x14ac:dyDescent="0.3">
      <c r="A178">
        <v>2014</v>
      </c>
      <c r="B178" t="s">
        <v>8</v>
      </c>
      <c r="C178">
        <v>29290</v>
      </c>
      <c r="D178" t="s">
        <v>14</v>
      </c>
      <c r="E178" t="s">
        <v>15</v>
      </c>
      <c r="F178" t="s">
        <v>13</v>
      </c>
      <c r="G178">
        <v>1</v>
      </c>
      <c r="H178" s="9">
        <v>14750</v>
      </c>
      <c r="I178" t="s">
        <v>829</v>
      </c>
    </row>
    <row r="179" spans="1:9" x14ac:dyDescent="0.3">
      <c r="A179">
        <v>2016</v>
      </c>
      <c r="B179" t="s">
        <v>8</v>
      </c>
      <c r="C179">
        <v>39792</v>
      </c>
      <c r="D179" t="s">
        <v>14</v>
      </c>
      <c r="E179" t="s">
        <v>15</v>
      </c>
      <c r="F179" t="s">
        <v>13</v>
      </c>
      <c r="G179">
        <v>2</v>
      </c>
      <c r="H179" s="9">
        <v>14750</v>
      </c>
      <c r="I179" t="s">
        <v>830</v>
      </c>
    </row>
    <row r="180" spans="1:9" x14ac:dyDescent="0.3">
      <c r="A180">
        <v>2018</v>
      </c>
      <c r="B180" t="s">
        <v>8</v>
      </c>
      <c r="C180">
        <v>7130</v>
      </c>
      <c r="D180" t="s">
        <v>14</v>
      </c>
      <c r="E180" t="s">
        <v>10</v>
      </c>
      <c r="F180" t="s">
        <v>13</v>
      </c>
      <c r="G180">
        <v>1</v>
      </c>
      <c r="H180" s="9">
        <v>14700</v>
      </c>
      <c r="I180" t="s">
        <v>831</v>
      </c>
    </row>
    <row r="181" spans="1:9" x14ac:dyDescent="0.3">
      <c r="A181">
        <v>2017</v>
      </c>
      <c r="B181" t="s">
        <v>8</v>
      </c>
      <c r="C181">
        <v>32152</v>
      </c>
      <c r="D181" t="s">
        <v>14</v>
      </c>
      <c r="E181" t="s">
        <v>15</v>
      </c>
      <c r="F181" t="s">
        <v>13</v>
      </c>
      <c r="G181">
        <v>1</v>
      </c>
      <c r="H181" s="9">
        <v>14600</v>
      </c>
      <c r="I181" t="s">
        <v>830</v>
      </c>
    </row>
    <row r="182" spans="1:9" x14ac:dyDescent="0.3">
      <c r="A182">
        <v>2018</v>
      </c>
      <c r="B182" t="s">
        <v>8</v>
      </c>
      <c r="C182">
        <v>18787</v>
      </c>
      <c r="D182" t="s">
        <v>9</v>
      </c>
      <c r="E182" t="s">
        <v>10</v>
      </c>
      <c r="F182" t="s">
        <v>11</v>
      </c>
      <c r="G182">
        <v>2</v>
      </c>
      <c r="H182" s="9">
        <v>14600</v>
      </c>
      <c r="I182" t="s">
        <v>829</v>
      </c>
    </row>
    <row r="183" spans="1:9" x14ac:dyDescent="0.3">
      <c r="A183">
        <v>2018</v>
      </c>
      <c r="B183" t="s">
        <v>8</v>
      </c>
      <c r="C183">
        <v>34622</v>
      </c>
      <c r="D183" t="s">
        <v>12</v>
      </c>
      <c r="E183" t="s">
        <v>10</v>
      </c>
      <c r="F183" t="s">
        <v>13</v>
      </c>
      <c r="G183">
        <v>1</v>
      </c>
      <c r="H183" s="9">
        <v>14600</v>
      </c>
      <c r="I183" t="s">
        <v>830</v>
      </c>
    </row>
    <row r="184" spans="1:9" x14ac:dyDescent="0.3">
      <c r="A184">
        <v>2017</v>
      </c>
      <c r="B184" t="s">
        <v>8</v>
      </c>
      <c r="C184">
        <v>39732</v>
      </c>
      <c r="D184" t="s">
        <v>14</v>
      </c>
      <c r="E184" t="s">
        <v>15</v>
      </c>
      <c r="F184" t="s">
        <v>13</v>
      </c>
      <c r="G184">
        <v>3</v>
      </c>
      <c r="H184" s="9">
        <v>14500</v>
      </c>
      <c r="I184" t="s">
        <v>828</v>
      </c>
    </row>
    <row r="185" spans="1:9" x14ac:dyDescent="0.3">
      <c r="A185">
        <v>2018</v>
      </c>
      <c r="B185" t="s">
        <v>8</v>
      </c>
      <c r="C185">
        <v>62000</v>
      </c>
      <c r="D185" t="s">
        <v>14</v>
      </c>
      <c r="E185" t="s">
        <v>15</v>
      </c>
      <c r="F185" t="s">
        <v>13</v>
      </c>
      <c r="G185">
        <v>1</v>
      </c>
      <c r="H185" s="9">
        <v>14499</v>
      </c>
      <c r="I185" t="s">
        <v>830</v>
      </c>
    </row>
    <row r="186" spans="1:9" x14ac:dyDescent="0.3">
      <c r="A186">
        <v>2017</v>
      </c>
      <c r="B186" t="s">
        <v>8</v>
      </c>
      <c r="C186">
        <v>22289</v>
      </c>
      <c r="D186" t="s">
        <v>9</v>
      </c>
      <c r="E186" t="s">
        <v>10</v>
      </c>
      <c r="F186" t="s">
        <v>11</v>
      </c>
      <c r="G186">
        <v>1</v>
      </c>
      <c r="H186" s="9">
        <v>14495</v>
      </c>
      <c r="I186" t="s">
        <v>828</v>
      </c>
    </row>
    <row r="187" spans="1:9" x14ac:dyDescent="0.3">
      <c r="A187">
        <v>2016</v>
      </c>
      <c r="B187" t="s">
        <v>8</v>
      </c>
      <c r="C187">
        <v>16400</v>
      </c>
      <c r="D187" t="s">
        <v>14</v>
      </c>
      <c r="E187" t="s">
        <v>15</v>
      </c>
      <c r="F187" t="s">
        <v>13</v>
      </c>
      <c r="G187">
        <v>2</v>
      </c>
      <c r="H187" s="9">
        <v>14444</v>
      </c>
      <c r="I187" t="s">
        <v>828</v>
      </c>
    </row>
    <row r="188" spans="1:9" x14ac:dyDescent="0.3">
      <c r="A188">
        <v>2019</v>
      </c>
      <c r="B188" t="s">
        <v>8</v>
      </c>
      <c r="C188">
        <v>94094</v>
      </c>
      <c r="D188" t="s">
        <v>12</v>
      </c>
      <c r="E188" t="s">
        <v>10</v>
      </c>
      <c r="F188" t="s">
        <v>13</v>
      </c>
      <c r="G188">
        <v>1</v>
      </c>
      <c r="H188" s="9">
        <v>14400</v>
      </c>
      <c r="I188" t="s">
        <v>829</v>
      </c>
    </row>
    <row r="189" spans="1:9" x14ac:dyDescent="0.3">
      <c r="A189">
        <v>2018</v>
      </c>
      <c r="B189" t="s">
        <v>8</v>
      </c>
      <c r="C189">
        <v>26041</v>
      </c>
      <c r="D189" t="s">
        <v>12</v>
      </c>
      <c r="E189" t="s">
        <v>10</v>
      </c>
      <c r="F189" t="s">
        <v>13</v>
      </c>
      <c r="G189">
        <v>2</v>
      </c>
      <c r="H189" s="9">
        <v>14300</v>
      </c>
      <c r="I189" t="s">
        <v>831</v>
      </c>
    </row>
    <row r="190" spans="1:9" x14ac:dyDescent="0.3">
      <c r="A190">
        <v>2017</v>
      </c>
      <c r="B190" t="s">
        <v>8</v>
      </c>
      <c r="C190">
        <v>51000</v>
      </c>
      <c r="D190" t="s">
        <v>14</v>
      </c>
      <c r="E190" t="s">
        <v>10</v>
      </c>
      <c r="F190" t="s">
        <v>13</v>
      </c>
      <c r="G190">
        <v>2</v>
      </c>
      <c r="H190" s="9">
        <v>14295</v>
      </c>
      <c r="I190" t="s">
        <v>830</v>
      </c>
    </row>
    <row r="191" spans="1:9" x14ac:dyDescent="0.3">
      <c r="A191">
        <v>2018</v>
      </c>
      <c r="B191" t="s">
        <v>8</v>
      </c>
      <c r="C191">
        <v>28000</v>
      </c>
      <c r="D191" t="s">
        <v>12</v>
      </c>
      <c r="E191" t="s">
        <v>15</v>
      </c>
      <c r="F191" t="s">
        <v>13</v>
      </c>
      <c r="G191">
        <v>4</v>
      </c>
      <c r="H191" s="9">
        <v>14250</v>
      </c>
      <c r="I191" t="s">
        <v>830</v>
      </c>
    </row>
    <row r="192" spans="1:9" x14ac:dyDescent="0.3">
      <c r="A192">
        <v>2018</v>
      </c>
      <c r="B192" t="s">
        <v>8</v>
      </c>
      <c r="C192">
        <v>45800</v>
      </c>
      <c r="D192" t="s">
        <v>14</v>
      </c>
      <c r="E192" t="s">
        <v>15</v>
      </c>
      <c r="F192" t="s">
        <v>13</v>
      </c>
      <c r="G192">
        <v>2</v>
      </c>
      <c r="H192" s="9">
        <v>14110</v>
      </c>
      <c r="I192" t="s">
        <v>830</v>
      </c>
    </row>
    <row r="193" spans="1:9" x14ac:dyDescent="0.3">
      <c r="A193">
        <v>2017</v>
      </c>
      <c r="B193" t="s">
        <v>8</v>
      </c>
      <c r="C193">
        <v>20141</v>
      </c>
      <c r="D193" t="s">
        <v>14</v>
      </c>
      <c r="E193" t="s">
        <v>10</v>
      </c>
      <c r="F193" t="s">
        <v>13</v>
      </c>
      <c r="G193">
        <v>2</v>
      </c>
      <c r="H193" s="9">
        <v>14094</v>
      </c>
      <c r="I193" t="s">
        <v>829</v>
      </c>
    </row>
    <row r="194" spans="1:9" x14ac:dyDescent="0.3">
      <c r="A194">
        <v>2018</v>
      </c>
      <c r="B194" t="s">
        <v>8</v>
      </c>
      <c r="C194">
        <v>44600</v>
      </c>
      <c r="D194" t="s">
        <v>14</v>
      </c>
      <c r="E194" t="s">
        <v>10</v>
      </c>
      <c r="F194" t="s">
        <v>13</v>
      </c>
      <c r="G194">
        <v>1</v>
      </c>
      <c r="H194" s="9">
        <v>14000</v>
      </c>
      <c r="I194" t="s">
        <v>829</v>
      </c>
    </row>
    <row r="195" spans="1:9" x14ac:dyDescent="0.3">
      <c r="A195">
        <v>2018</v>
      </c>
      <c r="B195" t="s">
        <v>8</v>
      </c>
      <c r="C195">
        <v>42000</v>
      </c>
      <c r="D195" t="s">
        <v>14</v>
      </c>
      <c r="E195" t="s">
        <v>15</v>
      </c>
      <c r="F195" t="s">
        <v>13</v>
      </c>
      <c r="G195">
        <v>1</v>
      </c>
      <c r="H195" s="9">
        <v>13999</v>
      </c>
      <c r="I195" t="s">
        <v>828</v>
      </c>
    </row>
    <row r="196" spans="1:9" x14ac:dyDescent="0.3">
      <c r="A196">
        <v>2018</v>
      </c>
      <c r="B196" t="s">
        <v>8</v>
      </c>
      <c r="C196">
        <v>60125</v>
      </c>
      <c r="D196" t="s">
        <v>14</v>
      </c>
      <c r="E196" t="s">
        <v>10</v>
      </c>
      <c r="F196" t="s">
        <v>13</v>
      </c>
      <c r="G196">
        <v>2</v>
      </c>
      <c r="H196" s="9">
        <v>13997</v>
      </c>
      <c r="I196" t="s">
        <v>830</v>
      </c>
    </row>
    <row r="197" spans="1:9" x14ac:dyDescent="0.3">
      <c r="A197">
        <v>2015</v>
      </c>
      <c r="B197" t="s">
        <v>8</v>
      </c>
      <c r="C197">
        <v>36694</v>
      </c>
      <c r="D197" t="s">
        <v>14</v>
      </c>
      <c r="E197" t="s">
        <v>10</v>
      </c>
      <c r="F197" t="s">
        <v>13</v>
      </c>
      <c r="G197">
        <v>1</v>
      </c>
      <c r="H197" s="9">
        <v>13995</v>
      </c>
      <c r="I197" t="s">
        <v>831</v>
      </c>
    </row>
    <row r="198" spans="1:9" x14ac:dyDescent="0.3">
      <c r="A198">
        <v>2017</v>
      </c>
      <c r="B198" t="s">
        <v>8</v>
      </c>
      <c r="C198">
        <v>41000</v>
      </c>
      <c r="D198" t="s">
        <v>9</v>
      </c>
      <c r="E198" t="s">
        <v>10</v>
      </c>
      <c r="F198" t="s">
        <v>11</v>
      </c>
      <c r="G198">
        <v>2</v>
      </c>
      <c r="H198" s="9">
        <v>13995</v>
      </c>
      <c r="I198" t="s">
        <v>829</v>
      </c>
    </row>
    <row r="199" spans="1:9" x14ac:dyDescent="0.3">
      <c r="A199">
        <v>2017</v>
      </c>
      <c r="B199" t="s">
        <v>8</v>
      </c>
      <c r="C199">
        <v>37735</v>
      </c>
      <c r="D199" t="s">
        <v>9</v>
      </c>
      <c r="E199" t="s">
        <v>10</v>
      </c>
      <c r="F199" t="s">
        <v>11</v>
      </c>
      <c r="G199">
        <v>2</v>
      </c>
      <c r="H199" s="9">
        <v>13980</v>
      </c>
      <c r="I199" t="s">
        <v>828</v>
      </c>
    </row>
    <row r="200" spans="1:9" x14ac:dyDescent="0.3">
      <c r="A200">
        <v>2018</v>
      </c>
      <c r="B200" t="s">
        <v>8</v>
      </c>
      <c r="C200">
        <v>28002</v>
      </c>
      <c r="D200" t="s">
        <v>14</v>
      </c>
      <c r="E200" t="s">
        <v>10</v>
      </c>
      <c r="F200" t="s">
        <v>13</v>
      </c>
      <c r="G200">
        <v>2</v>
      </c>
      <c r="H200" s="9">
        <v>13946</v>
      </c>
      <c r="I200" t="s">
        <v>829</v>
      </c>
    </row>
    <row r="201" spans="1:9" x14ac:dyDescent="0.3">
      <c r="A201">
        <v>2018</v>
      </c>
      <c r="B201" t="s">
        <v>8</v>
      </c>
      <c r="C201">
        <v>32396</v>
      </c>
      <c r="D201" t="s">
        <v>12</v>
      </c>
      <c r="E201" t="s">
        <v>10</v>
      </c>
      <c r="F201" t="s">
        <v>13</v>
      </c>
      <c r="G201">
        <v>1</v>
      </c>
      <c r="H201" s="9">
        <v>13945</v>
      </c>
      <c r="I201" t="s">
        <v>829</v>
      </c>
    </row>
    <row r="202" spans="1:9" x14ac:dyDescent="0.3">
      <c r="A202">
        <v>2017</v>
      </c>
      <c r="B202" t="s">
        <v>8</v>
      </c>
      <c r="C202">
        <v>42798</v>
      </c>
      <c r="D202" t="s">
        <v>9</v>
      </c>
      <c r="E202" t="s">
        <v>10</v>
      </c>
      <c r="F202" t="s">
        <v>11</v>
      </c>
      <c r="G202">
        <v>2</v>
      </c>
      <c r="H202" s="9">
        <v>13795</v>
      </c>
      <c r="I202" t="s">
        <v>830</v>
      </c>
    </row>
    <row r="203" spans="1:9" x14ac:dyDescent="0.3">
      <c r="A203">
        <v>2017</v>
      </c>
      <c r="B203" t="s">
        <v>8</v>
      </c>
      <c r="C203">
        <v>30657</v>
      </c>
      <c r="D203" t="s">
        <v>9</v>
      </c>
      <c r="E203" t="s">
        <v>10</v>
      </c>
      <c r="F203" t="s">
        <v>11</v>
      </c>
      <c r="G203">
        <v>1</v>
      </c>
      <c r="H203" s="9">
        <v>13749</v>
      </c>
      <c r="I203" t="s">
        <v>831</v>
      </c>
    </row>
    <row r="204" spans="1:9" x14ac:dyDescent="0.3">
      <c r="A204">
        <v>2016</v>
      </c>
      <c r="B204" t="s">
        <v>8</v>
      </c>
      <c r="C204">
        <v>43266</v>
      </c>
      <c r="D204" t="s">
        <v>14</v>
      </c>
      <c r="E204" t="s">
        <v>10</v>
      </c>
      <c r="F204" t="s">
        <v>13</v>
      </c>
      <c r="G204">
        <v>2</v>
      </c>
      <c r="H204" s="9">
        <v>13679</v>
      </c>
      <c r="I204" t="s">
        <v>830</v>
      </c>
    </row>
    <row r="205" spans="1:9" x14ac:dyDescent="0.3">
      <c r="A205">
        <v>2017</v>
      </c>
      <c r="B205" t="s">
        <v>8</v>
      </c>
      <c r="C205">
        <v>17000</v>
      </c>
      <c r="D205" t="s">
        <v>14</v>
      </c>
      <c r="E205" t="s">
        <v>10</v>
      </c>
      <c r="F205" t="s">
        <v>13</v>
      </c>
      <c r="G205">
        <v>1</v>
      </c>
      <c r="H205" s="9">
        <v>13594</v>
      </c>
      <c r="I205" t="s">
        <v>829</v>
      </c>
    </row>
    <row r="206" spans="1:9" x14ac:dyDescent="0.3">
      <c r="A206">
        <v>2018</v>
      </c>
      <c r="B206" t="s">
        <v>8</v>
      </c>
      <c r="C206">
        <v>48567</v>
      </c>
      <c r="D206" t="s">
        <v>14</v>
      </c>
      <c r="E206" t="s">
        <v>15</v>
      </c>
      <c r="F206" t="s">
        <v>13</v>
      </c>
      <c r="G206">
        <v>3</v>
      </c>
      <c r="H206" s="9">
        <v>13560</v>
      </c>
      <c r="I206" t="s">
        <v>830</v>
      </c>
    </row>
    <row r="207" spans="1:9" x14ac:dyDescent="0.3">
      <c r="A207">
        <v>2017</v>
      </c>
      <c r="B207" t="s">
        <v>8</v>
      </c>
      <c r="C207">
        <v>31818</v>
      </c>
      <c r="D207" t="s">
        <v>14</v>
      </c>
      <c r="E207" t="s">
        <v>10</v>
      </c>
      <c r="F207" t="s">
        <v>13</v>
      </c>
      <c r="G207">
        <v>2</v>
      </c>
      <c r="H207" s="9">
        <v>13555</v>
      </c>
      <c r="I207" t="s">
        <v>828</v>
      </c>
    </row>
    <row r="208" spans="1:9" x14ac:dyDescent="0.3">
      <c r="A208">
        <v>2016</v>
      </c>
      <c r="B208" t="s">
        <v>8</v>
      </c>
      <c r="C208">
        <v>35584</v>
      </c>
      <c r="D208" t="s">
        <v>14</v>
      </c>
      <c r="E208" t="s">
        <v>10</v>
      </c>
      <c r="F208" t="s">
        <v>13</v>
      </c>
      <c r="G208">
        <v>1</v>
      </c>
      <c r="H208" s="9">
        <v>13500</v>
      </c>
      <c r="I208" t="s">
        <v>830</v>
      </c>
    </row>
    <row r="209" spans="1:9" x14ac:dyDescent="0.3">
      <c r="A209">
        <v>2017</v>
      </c>
      <c r="B209" t="s">
        <v>8</v>
      </c>
      <c r="C209">
        <v>33126</v>
      </c>
      <c r="D209" t="s">
        <v>14</v>
      </c>
      <c r="E209" t="s">
        <v>10</v>
      </c>
      <c r="F209" t="s">
        <v>13</v>
      </c>
      <c r="G209">
        <v>3</v>
      </c>
      <c r="H209" s="9">
        <v>13495</v>
      </c>
      <c r="I209" t="s">
        <v>828</v>
      </c>
    </row>
    <row r="210" spans="1:9" x14ac:dyDescent="0.3">
      <c r="A210">
        <v>2018</v>
      </c>
      <c r="B210" t="s">
        <v>8</v>
      </c>
      <c r="C210">
        <v>27235</v>
      </c>
      <c r="D210" t="s">
        <v>14</v>
      </c>
      <c r="E210" t="s">
        <v>10</v>
      </c>
      <c r="F210" t="s">
        <v>13</v>
      </c>
      <c r="G210">
        <v>2</v>
      </c>
      <c r="H210" s="9">
        <v>13490</v>
      </c>
      <c r="I210" t="s">
        <v>828</v>
      </c>
    </row>
    <row r="211" spans="1:9" x14ac:dyDescent="0.3">
      <c r="A211">
        <v>2016</v>
      </c>
      <c r="B211" t="s">
        <v>8</v>
      </c>
      <c r="C211">
        <v>40000</v>
      </c>
      <c r="D211" t="s">
        <v>14</v>
      </c>
      <c r="E211" t="s">
        <v>15</v>
      </c>
      <c r="F211" t="s">
        <v>13</v>
      </c>
      <c r="G211">
        <v>2</v>
      </c>
      <c r="H211" s="9">
        <v>13490</v>
      </c>
      <c r="I211" t="s">
        <v>829</v>
      </c>
    </row>
    <row r="212" spans="1:9" x14ac:dyDescent="0.3">
      <c r="A212">
        <v>2017</v>
      </c>
      <c r="B212" t="s">
        <v>8</v>
      </c>
      <c r="C212">
        <v>39796</v>
      </c>
      <c r="D212" t="s">
        <v>14</v>
      </c>
      <c r="E212" t="s">
        <v>10</v>
      </c>
      <c r="F212" t="s">
        <v>13</v>
      </c>
      <c r="G212">
        <v>1</v>
      </c>
      <c r="H212" s="9">
        <v>13470</v>
      </c>
      <c r="I212" t="s">
        <v>831</v>
      </c>
    </row>
    <row r="213" spans="1:9" x14ac:dyDescent="0.3">
      <c r="A213">
        <v>2018</v>
      </c>
      <c r="B213" t="s">
        <v>8</v>
      </c>
      <c r="C213">
        <v>31679</v>
      </c>
      <c r="D213" t="s">
        <v>14</v>
      </c>
      <c r="E213" t="s">
        <v>10</v>
      </c>
      <c r="F213" t="s">
        <v>13</v>
      </c>
      <c r="G213">
        <v>1</v>
      </c>
      <c r="H213" s="9">
        <v>13350</v>
      </c>
      <c r="I213" t="s">
        <v>830</v>
      </c>
    </row>
    <row r="214" spans="1:9" x14ac:dyDescent="0.3">
      <c r="A214">
        <v>2015</v>
      </c>
      <c r="B214" t="s">
        <v>8</v>
      </c>
      <c r="C214">
        <v>50809</v>
      </c>
      <c r="D214" t="s">
        <v>14</v>
      </c>
      <c r="E214" t="s">
        <v>15</v>
      </c>
      <c r="F214" t="s">
        <v>13</v>
      </c>
      <c r="G214">
        <v>4</v>
      </c>
      <c r="H214" s="9">
        <v>13289</v>
      </c>
      <c r="I214" t="s">
        <v>830</v>
      </c>
    </row>
    <row r="215" spans="1:9" x14ac:dyDescent="0.3">
      <c r="A215">
        <v>2015</v>
      </c>
      <c r="B215" t="s">
        <v>8</v>
      </c>
      <c r="C215">
        <v>33000</v>
      </c>
      <c r="D215" t="s">
        <v>14</v>
      </c>
      <c r="E215" t="s">
        <v>15</v>
      </c>
      <c r="F215" t="s">
        <v>13</v>
      </c>
      <c r="G215">
        <v>2</v>
      </c>
      <c r="H215" s="9">
        <v>13250</v>
      </c>
      <c r="I215" t="s">
        <v>830</v>
      </c>
    </row>
    <row r="216" spans="1:9" x14ac:dyDescent="0.3">
      <c r="A216">
        <v>2015</v>
      </c>
      <c r="B216" t="s">
        <v>8</v>
      </c>
      <c r="C216">
        <v>53800</v>
      </c>
      <c r="D216" t="s">
        <v>14</v>
      </c>
      <c r="E216" t="s">
        <v>15</v>
      </c>
      <c r="F216" t="s">
        <v>13</v>
      </c>
      <c r="G216">
        <v>2</v>
      </c>
      <c r="H216" s="9">
        <v>13200</v>
      </c>
      <c r="I216" t="s">
        <v>829</v>
      </c>
    </row>
    <row r="217" spans="1:9" x14ac:dyDescent="0.3">
      <c r="A217">
        <v>2017</v>
      </c>
      <c r="B217" t="s">
        <v>8</v>
      </c>
      <c r="C217">
        <v>36964</v>
      </c>
      <c r="D217" t="s">
        <v>14</v>
      </c>
      <c r="E217" t="s">
        <v>10</v>
      </c>
      <c r="F217" t="s">
        <v>13</v>
      </c>
      <c r="G217">
        <v>3</v>
      </c>
      <c r="H217" s="9">
        <v>13000</v>
      </c>
      <c r="I217" t="s">
        <v>829</v>
      </c>
    </row>
    <row r="218" spans="1:9" x14ac:dyDescent="0.3">
      <c r="A218">
        <v>2018</v>
      </c>
      <c r="B218" t="s">
        <v>8</v>
      </c>
      <c r="C218">
        <v>25000</v>
      </c>
      <c r="D218" t="s">
        <v>14</v>
      </c>
      <c r="E218" t="s">
        <v>10</v>
      </c>
      <c r="F218" t="s">
        <v>13</v>
      </c>
      <c r="G218">
        <v>2</v>
      </c>
      <c r="H218" s="9">
        <v>12999</v>
      </c>
      <c r="I218" t="s">
        <v>828</v>
      </c>
    </row>
    <row r="219" spans="1:9" x14ac:dyDescent="0.3">
      <c r="A219">
        <v>2017</v>
      </c>
      <c r="B219" t="s">
        <v>8</v>
      </c>
      <c r="C219">
        <v>22000</v>
      </c>
      <c r="D219" t="s">
        <v>14</v>
      </c>
      <c r="E219" t="s">
        <v>10</v>
      </c>
      <c r="F219" t="s">
        <v>13</v>
      </c>
      <c r="G219">
        <v>1</v>
      </c>
      <c r="H219" s="9">
        <v>12995</v>
      </c>
      <c r="I219" t="s">
        <v>830</v>
      </c>
    </row>
    <row r="220" spans="1:9" x14ac:dyDescent="0.3">
      <c r="A220">
        <v>2016</v>
      </c>
      <c r="B220" t="s">
        <v>8</v>
      </c>
      <c r="C220">
        <v>43152</v>
      </c>
      <c r="D220" t="s">
        <v>14</v>
      </c>
      <c r="E220" t="s">
        <v>10</v>
      </c>
      <c r="F220" t="s">
        <v>13</v>
      </c>
      <c r="G220">
        <v>2</v>
      </c>
      <c r="H220" s="9">
        <v>12995</v>
      </c>
      <c r="I220" t="s">
        <v>831</v>
      </c>
    </row>
    <row r="221" spans="1:9" x14ac:dyDescent="0.3">
      <c r="A221">
        <v>2015</v>
      </c>
      <c r="B221" t="s">
        <v>8</v>
      </c>
      <c r="C221">
        <v>43411</v>
      </c>
      <c r="D221" t="s">
        <v>14</v>
      </c>
      <c r="E221" t="s">
        <v>15</v>
      </c>
      <c r="F221" t="s">
        <v>13</v>
      </c>
      <c r="G221">
        <v>2</v>
      </c>
      <c r="H221" s="9">
        <v>12995</v>
      </c>
      <c r="I221" t="s">
        <v>829</v>
      </c>
    </row>
    <row r="222" spans="1:9" x14ac:dyDescent="0.3">
      <c r="A222">
        <v>2017</v>
      </c>
      <c r="B222" t="s">
        <v>8</v>
      </c>
      <c r="C222">
        <v>30990</v>
      </c>
      <c r="D222" t="s">
        <v>14</v>
      </c>
      <c r="E222" t="s">
        <v>10</v>
      </c>
      <c r="F222" t="s">
        <v>13</v>
      </c>
      <c r="G222">
        <v>1</v>
      </c>
      <c r="H222" s="9">
        <v>12979</v>
      </c>
      <c r="I222" t="s">
        <v>828</v>
      </c>
    </row>
    <row r="223" spans="1:9" x14ac:dyDescent="0.3">
      <c r="A223">
        <v>2014</v>
      </c>
      <c r="B223" t="s">
        <v>8</v>
      </c>
      <c r="C223">
        <v>29154</v>
      </c>
      <c r="D223" t="s">
        <v>14</v>
      </c>
      <c r="E223" t="s">
        <v>10</v>
      </c>
      <c r="F223" t="s">
        <v>13</v>
      </c>
      <c r="G223">
        <v>2</v>
      </c>
      <c r="H223" s="9">
        <v>12950</v>
      </c>
      <c r="I223" t="s">
        <v>829</v>
      </c>
    </row>
    <row r="224" spans="1:9" x14ac:dyDescent="0.3">
      <c r="A224">
        <v>2018</v>
      </c>
      <c r="B224" t="s">
        <v>8</v>
      </c>
      <c r="C224">
        <v>77119</v>
      </c>
      <c r="D224" t="s">
        <v>9</v>
      </c>
      <c r="E224" t="s">
        <v>15</v>
      </c>
      <c r="F224" t="s">
        <v>11</v>
      </c>
      <c r="G224">
        <v>1</v>
      </c>
      <c r="H224" s="9">
        <v>12940</v>
      </c>
      <c r="I224" t="s">
        <v>829</v>
      </c>
    </row>
    <row r="225" spans="1:9" x14ac:dyDescent="0.3">
      <c r="A225">
        <v>2018</v>
      </c>
      <c r="B225" t="s">
        <v>8</v>
      </c>
      <c r="C225">
        <v>58000</v>
      </c>
      <c r="D225" t="s">
        <v>14</v>
      </c>
      <c r="E225" t="s">
        <v>10</v>
      </c>
      <c r="F225" t="s">
        <v>13</v>
      </c>
      <c r="G225">
        <v>1</v>
      </c>
      <c r="H225" s="9">
        <v>12749</v>
      </c>
      <c r="I225" t="s">
        <v>830</v>
      </c>
    </row>
    <row r="226" spans="1:9" x14ac:dyDescent="0.3">
      <c r="A226">
        <v>2016</v>
      </c>
      <c r="B226" t="s">
        <v>8</v>
      </c>
      <c r="C226">
        <v>51000</v>
      </c>
      <c r="D226" t="s">
        <v>12</v>
      </c>
      <c r="E226" t="s">
        <v>15</v>
      </c>
      <c r="F226" t="s">
        <v>13</v>
      </c>
      <c r="G226">
        <v>2</v>
      </c>
      <c r="H226" s="9">
        <v>12725</v>
      </c>
      <c r="I226" t="s">
        <v>831</v>
      </c>
    </row>
    <row r="227" spans="1:9" x14ac:dyDescent="0.3">
      <c r="A227">
        <v>2017</v>
      </c>
      <c r="B227" t="s">
        <v>8</v>
      </c>
      <c r="C227">
        <v>38000</v>
      </c>
      <c r="D227" t="s">
        <v>14</v>
      </c>
      <c r="E227" t="s">
        <v>10</v>
      </c>
      <c r="F227" t="s">
        <v>13</v>
      </c>
      <c r="G227">
        <v>2</v>
      </c>
      <c r="H227" s="9">
        <v>12699</v>
      </c>
      <c r="I227" t="s">
        <v>830</v>
      </c>
    </row>
    <row r="228" spans="1:9" x14ac:dyDescent="0.3">
      <c r="A228">
        <v>2014</v>
      </c>
      <c r="B228" t="s">
        <v>8</v>
      </c>
      <c r="C228">
        <v>28000</v>
      </c>
      <c r="D228" t="s">
        <v>14</v>
      </c>
      <c r="E228" t="s">
        <v>10</v>
      </c>
      <c r="F228" t="s">
        <v>13</v>
      </c>
      <c r="G228">
        <v>2</v>
      </c>
      <c r="H228" s="9">
        <v>12695</v>
      </c>
      <c r="I228" t="s">
        <v>829</v>
      </c>
    </row>
    <row r="229" spans="1:9" x14ac:dyDescent="0.3">
      <c r="A229">
        <v>2018</v>
      </c>
      <c r="B229" t="s">
        <v>8</v>
      </c>
      <c r="C229">
        <v>37000</v>
      </c>
      <c r="D229" t="s">
        <v>14</v>
      </c>
      <c r="E229" t="s">
        <v>10</v>
      </c>
      <c r="F229" t="s">
        <v>13</v>
      </c>
      <c r="G229">
        <v>1</v>
      </c>
      <c r="H229" s="9">
        <v>12650</v>
      </c>
      <c r="I229" t="s">
        <v>830</v>
      </c>
    </row>
    <row r="230" spans="1:9" x14ac:dyDescent="0.3">
      <c r="A230">
        <v>2016</v>
      </c>
      <c r="B230" t="s">
        <v>8</v>
      </c>
      <c r="C230">
        <v>25323</v>
      </c>
      <c r="D230" t="s">
        <v>12</v>
      </c>
      <c r="E230" t="s">
        <v>10</v>
      </c>
      <c r="F230" t="s">
        <v>13</v>
      </c>
      <c r="G230">
        <v>3</v>
      </c>
      <c r="H230" s="9">
        <v>12600</v>
      </c>
      <c r="I230" t="s">
        <v>828</v>
      </c>
    </row>
    <row r="231" spans="1:9" x14ac:dyDescent="0.3">
      <c r="A231">
        <v>2016</v>
      </c>
      <c r="B231" t="s">
        <v>8</v>
      </c>
      <c r="C231">
        <v>29726</v>
      </c>
      <c r="D231" t="s">
        <v>14</v>
      </c>
      <c r="E231" t="s">
        <v>10</v>
      </c>
      <c r="F231" t="s">
        <v>13</v>
      </c>
      <c r="G231">
        <v>3</v>
      </c>
      <c r="H231" s="9">
        <v>12600</v>
      </c>
      <c r="I231" t="s">
        <v>830</v>
      </c>
    </row>
    <row r="232" spans="1:9" x14ac:dyDescent="0.3">
      <c r="A232">
        <v>2015</v>
      </c>
      <c r="B232" t="s">
        <v>8</v>
      </c>
      <c r="C232">
        <v>41694</v>
      </c>
      <c r="D232" t="s">
        <v>14</v>
      </c>
      <c r="E232" t="s">
        <v>10</v>
      </c>
      <c r="F232" t="s">
        <v>13</v>
      </c>
      <c r="G232">
        <v>2</v>
      </c>
      <c r="H232" s="9">
        <v>12595</v>
      </c>
      <c r="I232" t="s">
        <v>828</v>
      </c>
    </row>
    <row r="233" spans="1:9" x14ac:dyDescent="0.3">
      <c r="A233">
        <v>2017</v>
      </c>
      <c r="B233" t="s">
        <v>8</v>
      </c>
      <c r="C233">
        <v>33000</v>
      </c>
      <c r="D233" t="s">
        <v>12</v>
      </c>
      <c r="E233" t="s">
        <v>10</v>
      </c>
      <c r="F233" t="s">
        <v>13</v>
      </c>
      <c r="G233">
        <v>2</v>
      </c>
      <c r="H233" s="9">
        <v>12579</v>
      </c>
      <c r="I233" t="s">
        <v>828</v>
      </c>
    </row>
    <row r="234" spans="1:9" x14ac:dyDescent="0.3">
      <c r="A234">
        <v>2017</v>
      </c>
      <c r="B234" t="s">
        <v>8</v>
      </c>
      <c r="C234">
        <v>38030</v>
      </c>
      <c r="D234" t="s">
        <v>9</v>
      </c>
      <c r="E234" t="s">
        <v>10</v>
      </c>
      <c r="F234" t="s">
        <v>11</v>
      </c>
      <c r="G234">
        <v>2</v>
      </c>
      <c r="H234" s="9">
        <v>12500</v>
      </c>
      <c r="I234" t="s">
        <v>829</v>
      </c>
    </row>
    <row r="235" spans="1:9" x14ac:dyDescent="0.3">
      <c r="A235">
        <v>2018</v>
      </c>
      <c r="B235" t="s">
        <v>8</v>
      </c>
      <c r="C235">
        <v>73199</v>
      </c>
      <c r="D235" t="s">
        <v>14</v>
      </c>
      <c r="E235" t="s">
        <v>10</v>
      </c>
      <c r="F235" t="s">
        <v>13</v>
      </c>
      <c r="G235">
        <v>2</v>
      </c>
      <c r="H235" s="9">
        <v>12500</v>
      </c>
      <c r="I235" t="s">
        <v>831</v>
      </c>
    </row>
    <row r="236" spans="1:9" x14ac:dyDescent="0.3">
      <c r="A236">
        <v>2017</v>
      </c>
      <c r="B236" t="s">
        <v>8</v>
      </c>
      <c r="C236">
        <v>33579</v>
      </c>
      <c r="D236" t="s">
        <v>12</v>
      </c>
      <c r="E236" t="s">
        <v>10</v>
      </c>
      <c r="F236" t="s">
        <v>13</v>
      </c>
      <c r="G236">
        <v>2</v>
      </c>
      <c r="H236" s="9">
        <v>12499</v>
      </c>
      <c r="I236" t="s">
        <v>830</v>
      </c>
    </row>
    <row r="237" spans="1:9" x14ac:dyDescent="0.3">
      <c r="A237">
        <v>2014</v>
      </c>
      <c r="B237" t="s">
        <v>8</v>
      </c>
      <c r="C237">
        <v>34802</v>
      </c>
      <c r="D237" t="s">
        <v>14</v>
      </c>
      <c r="E237" t="s">
        <v>15</v>
      </c>
      <c r="F237" t="s">
        <v>13</v>
      </c>
      <c r="G237">
        <v>2</v>
      </c>
      <c r="H237" s="9">
        <v>12495</v>
      </c>
      <c r="I237" t="s">
        <v>830</v>
      </c>
    </row>
    <row r="238" spans="1:9" x14ac:dyDescent="0.3">
      <c r="A238">
        <v>2015</v>
      </c>
      <c r="B238" t="s">
        <v>8</v>
      </c>
      <c r="C238">
        <v>30000</v>
      </c>
      <c r="D238" t="s">
        <v>14</v>
      </c>
      <c r="E238" t="s">
        <v>15</v>
      </c>
      <c r="F238" t="s">
        <v>13</v>
      </c>
      <c r="G238">
        <v>2</v>
      </c>
      <c r="H238" s="9">
        <v>12495</v>
      </c>
      <c r="I238" t="s">
        <v>830</v>
      </c>
    </row>
    <row r="239" spans="1:9" x14ac:dyDescent="0.3">
      <c r="A239">
        <v>2014</v>
      </c>
      <c r="B239" t="s">
        <v>8</v>
      </c>
      <c r="C239">
        <v>27879</v>
      </c>
      <c r="D239" t="s">
        <v>14</v>
      </c>
      <c r="E239" t="s">
        <v>15</v>
      </c>
      <c r="F239" t="s">
        <v>13</v>
      </c>
      <c r="G239">
        <v>2</v>
      </c>
      <c r="H239" s="9">
        <v>12490</v>
      </c>
      <c r="I239" t="s">
        <v>829</v>
      </c>
    </row>
    <row r="240" spans="1:9" x14ac:dyDescent="0.3">
      <c r="A240">
        <v>2015</v>
      </c>
      <c r="B240" t="s">
        <v>8</v>
      </c>
      <c r="C240">
        <v>34000</v>
      </c>
      <c r="D240" t="s">
        <v>14</v>
      </c>
      <c r="E240" t="s">
        <v>10</v>
      </c>
      <c r="F240" t="s">
        <v>13</v>
      </c>
      <c r="G240">
        <v>2</v>
      </c>
      <c r="H240" s="9">
        <v>12490</v>
      </c>
      <c r="I240" t="s">
        <v>829</v>
      </c>
    </row>
    <row r="241" spans="1:9" x14ac:dyDescent="0.3">
      <c r="A241">
        <v>2016</v>
      </c>
      <c r="B241" t="s">
        <v>8</v>
      </c>
      <c r="C241">
        <v>38077</v>
      </c>
      <c r="D241" t="s">
        <v>12</v>
      </c>
      <c r="E241" t="s">
        <v>15</v>
      </c>
      <c r="F241" t="s">
        <v>13</v>
      </c>
      <c r="G241">
        <v>1</v>
      </c>
      <c r="H241" s="9">
        <v>12490</v>
      </c>
      <c r="I241" t="s">
        <v>828</v>
      </c>
    </row>
    <row r="242" spans="1:9" x14ac:dyDescent="0.3">
      <c r="A242">
        <v>2015</v>
      </c>
      <c r="B242" t="s">
        <v>8</v>
      </c>
      <c r="C242">
        <v>47250</v>
      </c>
      <c r="D242" t="s">
        <v>12</v>
      </c>
      <c r="E242" t="s">
        <v>15</v>
      </c>
      <c r="F242" t="s">
        <v>13</v>
      </c>
      <c r="G242">
        <v>3</v>
      </c>
      <c r="H242" s="9">
        <v>12449</v>
      </c>
      <c r="I242" t="s">
        <v>830</v>
      </c>
    </row>
    <row r="243" spans="1:9" x14ac:dyDescent="0.3">
      <c r="A243">
        <v>2017</v>
      </c>
      <c r="B243" t="s">
        <v>8</v>
      </c>
      <c r="C243">
        <v>23550</v>
      </c>
      <c r="D243" t="s">
        <v>9</v>
      </c>
      <c r="E243" t="s">
        <v>10</v>
      </c>
      <c r="F243" t="s">
        <v>11</v>
      </c>
      <c r="G243">
        <v>2</v>
      </c>
      <c r="H243" s="9">
        <v>12400</v>
      </c>
      <c r="I243" t="s">
        <v>831</v>
      </c>
    </row>
    <row r="244" spans="1:9" x14ac:dyDescent="0.3">
      <c r="A244">
        <v>2016</v>
      </c>
      <c r="B244" t="s">
        <v>8</v>
      </c>
      <c r="C244">
        <v>51157</v>
      </c>
      <c r="D244" t="s">
        <v>9</v>
      </c>
      <c r="E244" t="s">
        <v>10</v>
      </c>
      <c r="F244" t="s">
        <v>11</v>
      </c>
      <c r="G244">
        <v>2</v>
      </c>
      <c r="H244" s="9">
        <v>12400</v>
      </c>
      <c r="I244" t="s">
        <v>829</v>
      </c>
    </row>
    <row r="245" spans="1:9" x14ac:dyDescent="0.3">
      <c r="A245">
        <v>2018</v>
      </c>
      <c r="B245" t="s">
        <v>8</v>
      </c>
      <c r="C245">
        <v>68582</v>
      </c>
      <c r="D245" t="s">
        <v>14</v>
      </c>
      <c r="E245" t="s">
        <v>10</v>
      </c>
      <c r="F245" t="s">
        <v>13</v>
      </c>
      <c r="G245">
        <v>1</v>
      </c>
      <c r="H245" s="9">
        <v>12300</v>
      </c>
      <c r="I245" t="s">
        <v>828</v>
      </c>
    </row>
    <row r="246" spans="1:9" x14ac:dyDescent="0.3">
      <c r="A246">
        <v>2018</v>
      </c>
      <c r="B246" t="s">
        <v>8</v>
      </c>
      <c r="C246">
        <v>45027</v>
      </c>
      <c r="D246" t="s">
        <v>12</v>
      </c>
      <c r="E246" t="s">
        <v>10</v>
      </c>
      <c r="F246" t="s">
        <v>13</v>
      </c>
      <c r="G246">
        <v>2</v>
      </c>
      <c r="H246" s="9">
        <v>12300</v>
      </c>
      <c r="I246" t="s">
        <v>829</v>
      </c>
    </row>
    <row r="247" spans="1:9" x14ac:dyDescent="0.3">
      <c r="A247">
        <v>2017</v>
      </c>
      <c r="B247" t="s">
        <v>8</v>
      </c>
      <c r="C247">
        <v>46600</v>
      </c>
      <c r="D247" t="s">
        <v>14</v>
      </c>
      <c r="E247" t="s">
        <v>10</v>
      </c>
      <c r="F247" t="s">
        <v>13</v>
      </c>
      <c r="G247">
        <v>2</v>
      </c>
      <c r="H247" s="9">
        <v>12300</v>
      </c>
      <c r="I247" t="s">
        <v>829</v>
      </c>
    </row>
    <row r="248" spans="1:9" x14ac:dyDescent="0.3">
      <c r="A248">
        <v>2015</v>
      </c>
      <c r="B248" t="s">
        <v>8</v>
      </c>
      <c r="C248">
        <v>39500</v>
      </c>
      <c r="D248" t="s">
        <v>14</v>
      </c>
      <c r="E248" t="s">
        <v>10</v>
      </c>
      <c r="F248" t="s">
        <v>13</v>
      </c>
      <c r="G248">
        <v>2</v>
      </c>
      <c r="H248" s="9">
        <v>12200</v>
      </c>
      <c r="I248" t="s">
        <v>830</v>
      </c>
    </row>
    <row r="249" spans="1:9" x14ac:dyDescent="0.3">
      <c r="A249">
        <v>2016</v>
      </c>
      <c r="B249" t="s">
        <v>8</v>
      </c>
      <c r="C249">
        <v>26000</v>
      </c>
      <c r="D249" t="s">
        <v>14</v>
      </c>
      <c r="E249" t="s">
        <v>10</v>
      </c>
      <c r="F249" t="s">
        <v>13</v>
      </c>
      <c r="G249">
        <v>3</v>
      </c>
      <c r="H249" s="9">
        <v>12190</v>
      </c>
      <c r="I249" t="s">
        <v>831</v>
      </c>
    </row>
    <row r="250" spans="1:9" x14ac:dyDescent="0.3">
      <c r="A250">
        <v>2016</v>
      </c>
      <c r="B250" t="s">
        <v>8</v>
      </c>
      <c r="C250">
        <v>55635</v>
      </c>
      <c r="D250" t="s">
        <v>9</v>
      </c>
      <c r="E250" t="s">
        <v>10</v>
      </c>
      <c r="F250" t="s">
        <v>11</v>
      </c>
      <c r="G250">
        <v>2</v>
      </c>
      <c r="H250" s="9">
        <v>12180</v>
      </c>
      <c r="I250" t="s">
        <v>830</v>
      </c>
    </row>
    <row r="251" spans="1:9" x14ac:dyDescent="0.3">
      <c r="A251">
        <v>2015</v>
      </c>
      <c r="B251" t="s">
        <v>8</v>
      </c>
      <c r="C251">
        <v>40000</v>
      </c>
      <c r="D251" t="s">
        <v>14</v>
      </c>
      <c r="E251" t="s">
        <v>10</v>
      </c>
      <c r="F251" t="s">
        <v>13</v>
      </c>
      <c r="G251">
        <v>2</v>
      </c>
      <c r="H251" s="9">
        <v>12138</v>
      </c>
      <c r="I251" t="s">
        <v>829</v>
      </c>
    </row>
    <row r="252" spans="1:9" x14ac:dyDescent="0.3">
      <c r="A252">
        <v>2014</v>
      </c>
      <c r="B252" t="s">
        <v>8</v>
      </c>
      <c r="C252">
        <v>35730</v>
      </c>
      <c r="D252" t="s">
        <v>14</v>
      </c>
      <c r="E252" t="s">
        <v>15</v>
      </c>
      <c r="F252" t="s">
        <v>13</v>
      </c>
      <c r="G252">
        <v>3</v>
      </c>
      <c r="H252" s="9">
        <v>12100</v>
      </c>
      <c r="I252" t="s">
        <v>830</v>
      </c>
    </row>
    <row r="253" spans="1:9" x14ac:dyDescent="0.3">
      <c r="A253">
        <v>2016</v>
      </c>
      <c r="B253" t="s">
        <v>8</v>
      </c>
      <c r="C253">
        <v>61696</v>
      </c>
      <c r="D253" t="s">
        <v>14</v>
      </c>
      <c r="E253" t="s">
        <v>10</v>
      </c>
      <c r="F253" t="s">
        <v>13</v>
      </c>
      <c r="G253">
        <v>2</v>
      </c>
      <c r="H253" s="9">
        <v>12000</v>
      </c>
      <c r="I253" t="s">
        <v>828</v>
      </c>
    </row>
    <row r="254" spans="1:9" x14ac:dyDescent="0.3">
      <c r="A254">
        <v>2018</v>
      </c>
      <c r="B254" t="s">
        <v>8</v>
      </c>
      <c r="C254">
        <v>31000</v>
      </c>
      <c r="D254" t="s">
        <v>12</v>
      </c>
      <c r="E254" t="s">
        <v>10</v>
      </c>
      <c r="F254" t="s">
        <v>13</v>
      </c>
      <c r="G254">
        <v>3</v>
      </c>
      <c r="H254" s="9">
        <v>12000</v>
      </c>
      <c r="I254" t="s">
        <v>830</v>
      </c>
    </row>
    <row r="255" spans="1:9" x14ac:dyDescent="0.3">
      <c r="A255">
        <v>2017</v>
      </c>
      <c r="B255" t="s">
        <v>8</v>
      </c>
      <c r="C255">
        <v>73000</v>
      </c>
      <c r="D255" t="s">
        <v>14</v>
      </c>
      <c r="E255" t="s">
        <v>10</v>
      </c>
      <c r="F255" t="s">
        <v>13</v>
      </c>
      <c r="G255">
        <v>2</v>
      </c>
      <c r="H255" s="9">
        <v>12000</v>
      </c>
      <c r="I255" t="s">
        <v>828</v>
      </c>
    </row>
    <row r="256" spans="1:9" x14ac:dyDescent="0.3">
      <c r="A256">
        <v>2016</v>
      </c>
      <c r="B256" t="s">
        <v>8</v>
      </c>
      <c r="C256">
        <v>40000</v>
      </c>
      <c r="D256" t="s">
        <v>14</v>
      </c>
      <c r="E256" t="s">
        <v>10</v>
      </c>
      <c r="F256" t="s">
        <v>13</v>
      </c>
      <c r="G256">
        <v>2</v>
      </c>
      <c r="H256" s="9">
        <v>11999</v>
      </c>
      <c r="I256" t="s">
        <v>828</v>
      </c>
    </row>
    <row r="257" spans="1:9" x14ac:dyDescent="0.3">
      <c r="A257">
        <v>2018</v>
      </c>
      <c r="B257" t="s">
        <v>8</v>
      </c>
      <c r="C257">
        <v>63215</v>
      </c>
      <c r="D257" t="s">
        <v>14</v>
      </c>
      <c r="E257" t="s">
        <v>10</v>
      </c>
      <c r="F257" t="s">
        <v>13</v>
      </c>
      <c r="G257">
        <v>1</v>
      </c>
      <c r="H257" s="9">
        <v>11999</v>
      </c>
      <c r="I257" t="s">
        <v>829</v>
      </c>
    </row>
    <row r="258" spans="1:9" x14ac:dyDescent="0.3">
      <c r="A258">
        <v>2016</v>
      </c>
      <c r="B258" t="s">
        <v>8</v>
      </c>
      <c r="C258">
        <v>35781</v>
      </c>
      <c r="D258" t="s">
        <v>14</v>
      </c>
      <c r="E258" t="s">
        <v>10</v>
      </c>
      <c r="F258" t="s">
        <v>13</v>
      </c>
      <c r="G258">
        <v>1</v>
      </c>
      <c r="H258" s="9">
        <v>11998</v>
      </c>
      <c r="I258" t="s">
        <v>831</v>
      </c>
    </row>
    <row r="259" spans="1:9" x14ac:dyDescent="0.3">
      <c r="A259">
        <v>2016</v>
      </c>
      <c r="B259" t="s">
        <v>8</v>
      </c>
      <c r="C259">
        <v>11000</v>
      </c>
      <c r="D259" t="s">
        <v>12</v>
      </c>
      <c r="E259" t="s">
        <v>10</v>
      </c>
      <c r="F259" t="s">
        <v>13</v>
      </c>
      <c r="G259">
        <v>2</v>
      </c>
      <c r="H259" s="9">
        <v>11995</v>
      </c>
      <c r="I259" t="s">
        <v>830</v>
      </c>
    </row>
    <row r="260" spans="1:9" x14ac:dyDescent="0.3">
      <c r="A260">
        <v>2018</v>
      </c>
      <c r="B260" t="s">
        <v>8</v>
      </c>
      <c r="C260">
        <v>85000</v>
      </c>
      <c r="D260" t="s">
        <v>14</v>
      </c>
      <c r="E260" t="s">
        <v>10</v>
      </c>
      <c r="F260" t="s">
        <v>13</v>
      </c>
      <c r="G260">
        <v>2</v>
      </c>
      <c r="H260" s="9">
        <v>11995</v>
      </c>
      <c r="I260" t="s">
        <v>830</v>
      </c>
    </row>
    <row r="261" spans="1:9" x14ac:dyDescent="0.3">
      <c r="A261">
        <v>2014</v>
      </c>
      <c r="B261" t="s">
        <v>8</v>
      </c>
      <c r="C261">
        <v>43248</v>
      </c>
      <c r="D261" t="s">
        <v>14</v>
      </c>
      <c r="E261" t="s">
        <v>15</v>
      </c>
      <c r="F261" t="s">
        <v>13</v>
      </c>
      <c r="G261">
        <v>1</v>
      </c>
      <c r="H261" s="9">
        <v>11995</v>
      </c>
      <c r="I261" t="s">
        <v>830</v>
      </c>
    </row>
    <row r="262" spans="1:9" x14ac:dyDescent="0.3">
      <c r="A262">
        <v>2017</v>
      </c>
      <c r="B262" t="s">
        <v>8</v>
      </c>
      <c r="C262">
        <v>48571</v>
      </c>
      <c r="D262" t="s">
        <v>14</v>
      </c>
      <c r="E262" t="s">
        <v>10</v>
      </c>
      <c r="F262" t="s">
        <v>13</v>
      </c>
      <c r="G262">
        <v>2</v>
      </c>
      <c r="H262" s="9">
        <v>11995</v>
      </c>
      <c r="I262" t="s">
        <v>829</v>
      </c>
    </row>
    <row r="263" spans="1:9" x14ac:dyDescent="0.3">
      <c r="A263">
        <v>2017</v>
      </c>
      <c r="B263" t="s">
        <v>8</v>
      </c>
      <c r="C263">
        <v>70000</v>
      </c>
      <c r="D263" t="s">
        <v>9</v>
      </c>
      <c r="E263" t="s">
        <v>10</v>
      </c>
      <c r="F263" t="s">
        <v>11</v>
      </c>
      <c r="G263">
        <v>1</v>
      </c>
      <c r="H263" s="9">
        <v>11991</v>
      </c>
      <c r="I263" t="s">
        <v>829</v>
      </c>
    </row>
    <row r="264" spans="1:9" x14ac:dyDescent="0.3">
      <c r="A264">
        <v>2015</v>
      </c>
      <c r="B264" t="s">
        <v>8</v>
      </c>
      <c r="C264">
        <v>55000</v>
      </c>
      <c r="D264" t="s">
        <v>14</v>
      </c>
      <c r="E264" t="s">
        <v>10</v>
      </c>
      <c r="F264" t="s">
        <v>13</v>
      </c>
      <c r="G264">
        <v>1</v>
      </c>
      <c r="H264" s="9">
        <v>11990</v>
      </c>
      <c r="I264" t="s">
        <v>828</v>
      </c>
    </row>
    <row r="265" spans="1:9" x14ac:dyDescent="0.3">
      <c r="A265">
        <v>2015</v>
      </c>
      <c r="B265" t="s">
        <v>8</v>
      </c>
      <c r="C265">
        <v>35550</v>
      </c>
      <c r="D265" t="s">
        <v>9</v>
      </c>
      <c r="E265" t="s">
        <v>15</v>
      </c>
      <c r="F265" t="s">
        <v>11</v>
      </c>
      <c r="G265">
        <v>1</v>
      </c>
      <c r="H265" s="9">
        <v>11990</v>
      </c>
      <c r="I265" t="s">
        <v>830</v>
      </c>
    </row>
    <row r="266" spans="1:9" x14ac:dyDescent="0.3">
      <c r="A266">
        <v>2017</v>
      </c>
      <c r="B266" t="s">
        <v>8</v>
      </c>
      <c r="C266">
        <v>44559</v>
      </c>
      <c r="D266" t="s">
        <v>14</v>
      </c>
      <c r="E266" t="s">
        <v>10</v>
      </c>
      <c r="F266" t="s">
        <v>13</v>
      </c>
      <c r="G266">
        <v>2</v>
      </c>
      <c r="H266" s="9">
        <v>11990</v>
      </c>
      <c r="I266" t="s">
        <v>831</v>
      </c>
    </row>
    <row r="267" spans="1:9" x14ac:dyDescent="0.3">
      <c r="A267">
        <v>2018</v>
      </c>
      <c r="B267" t="s">
        <v>8</v>
      </c>
      <c r="C267">
        <v>30576</v>
      </c>
      <c r="D267" t="s">
        <v>12</v>
      </c>
      <c r="E267" t="s">
        <v>10</v>
      </c>
      <c r="F267" t="s">
        <v>13</v>
      </c>
      <c r="G267">
        <v>2</v>
      </c>
      <c r="H267" s="9">
        <v>11989</v>
      </c>
      <c r="I267" t="s">
        <v>829</v>
      </c>
    </row>
    <row r="268" spans="1:9" x14ac:dyDescent="0.3">
      <c r="A268">
        <v>2016</v>
      </c>
      <c r="B268" t="s">
        <v>8</v>
      </c>
      <c r="C268">
        <v>45000</v>
      </c>
      <c r="D268" t="s">
        <v>14</v>
      </c>
      <c r="E268" t="s">
        <v>10</v>
      </c>
      <c r="F268" t="s">
        <v>13</v>
      </c>
      <c r="G268">
        <v>2</v>
      </c>
      <c r="H268" s="9">
        <v>11979</v>
      </c>
      <c r="I268" t="s">
        <v>828</v>
      </c>
    </row>
    <row r="269" spans="1:9" x14ac:dyDescent="0.3">
      <c r="A269">
        <v>2017</v>
      </c>
      <c r="B269" t="s">
        <v>8</v>
      </c>
      <c r="C269">
        <v>37000</v>
      </c>
      <c r="D269" t="s">
        <v>12</v>
      </c>
      <c r="E269" t="s">
        <v>10</v>
      </c>
      <c r="F269" t="s">
        <v>13</v>
      </c>
      <c r="G269">
        <v>1</v>
      </c>
      <c r="H269" s="9">
        <v>11850</v>
      </c>
      <c r="I269" t="s">
        <v>829</v>
      </c>
    </row>
    <row r="270" spans="1:9" x14ac:dyDescent="0.3">
      <c r="A270">
        <v>2017</v>
      </c>
      <c r="B270" t="s">
        <v>8</v>
      </c>
      <c r="C270">
        <v>33000</v>
      </c>
      <c r="D270" t="s">
        <v>14</v>
      </c>
      <c r="E270" t="s">
        <v>10</v>
      </c>
      <c r="F270" t="s">
        <v>13</v>
      </c>
      <c r="G270">
        <v>1</v>
      </c>
      <c r="H270" s="9">
        <v>11840</v>
      </c>
      <c r="I270" t="s">
        <v>829</v>
      </c>
    </row>
    <row r="271" spans="1:9" x14ac:dyDescent="0.3">
      <c r="A271">
        <v>2016</v>
      </c>
      <c r="B271" t="s">
        <v>8</v>
      </c>
      <c r="C271">
        <v>60333</v>
      </c>
      <c r="D271" t="s">
        <v>14</v>
      </c>
      <c r="E271" t="s">
        <v>10</v>
      </c>
      <c r="F271" t="s">
        <v>13</v>
      </c>
      <c r="G271">
        <v>2</v>
      </c>
      <c r="H271" s="9">
        <v>11800</v>
      </c>
      <c r="I271" t="s">
        <v>830</v>
      </c>
    </row>
    <row r="272" spans="1:9" x14ac:dyDescent="0.3">
      <c r="A272">
        <v>2017</v>
      </c>
      <c r="B272" t="s">
        <v>8</v>
      </c>
      <c r="C272">
        <v>31632</v>
      </c>
      <c r="D272" t="s">
        <v>12</v>
      </c>
      <c r="E272" t="s">
        <v>10</v>
      </c>
      <c r="F272" t="s">
        <v>13</v>
      </c>
      <c r="G272">
        <v>2</v>
      </c>
      <c r="H272" s="9">
        <v>11799</v>
      </c>
      <c r="I272" t="s">
        <v>831</v>
      </c>
    </row>
    <row r="273" spans="1:9" x14ac:dyDescent="0.3">
      <c r="A273">
        <v>2015</v>
      </c>
      <c r="B273" t="s">
        <v>8</v>
      </c>
      <c r="C273">
        <v>49000</v>
      </c>
      <c r="D273" t="s">
        <v>14</v>
      </c>
      <c r="E273" t="s">
        <v>10</v>
      </c>
      <c r="F273" t="s">
        <v>13</v>
      </c>
      <c r="G273">
        <v>2</v>
      </c>
      <c r="H273" s="9">
        <v>11795</v>
      </c>
      <c r="I273" t="s">
        <v>830</v>
      </c>
    </row>
    <row r="274" spans="1:9" x14ac:dyDescent="0.3">
      <c r="A274">
        <v>2015</v>
      </c>
      <c r="B274" t="s">
        <v>8</v>
      </c>
      <c r="C274">
        <v>37392</v>
      </c>
      <c r="D274" t="s">
        <v>12</v>
      </c>
      <c r="E274" t="s">
        <v>15</v>
      </c>
      <c r="F274" t="s">
        <v>13</v>
      </c>
      <c r="G274">
        <v>2</v>
      </c>
      <c r="H274" s="9">
        <v>11795</v>
      </c>
      <c r="I274" t="s">
        <v>829</v>
      </c>
    </row>
    <row r="275" spans="1:9" x14ac:dyDescent="0.3">
      <c r="A275">
        <v>2014</v>
      </c>
      <c r="B275" t="s">
        <v>8</v>
      </c>
      <c r="C275">
        <v>48925</v>
      </c>
      <c r="D275" t="s">
        <v>14</v>
      </c>
      <c r="E275" t="s">
        <v>15</v>
      </c>
      <c r="F275" t="s">
        <v>13</v>
      </c>
      <c r="G275">
        <v>3</v>
      </c>
      <c r="H275" s="9">
        <v>11795</v>
      </c>
      <c r="I275" t="s">
        <v>830</v>
      </c>
    </row>
    <row r="276" spans="1:9" x14ac:dyDescent="0.3">
      <c r="A276">
        <v>2017</v>
      </c>
      <c r="B276" t="s">
        <v>8</v>
      </c>
      <c r="C276">
        <v>50573</v>
      </c>
      <c r="D276" t="s">
        <v>14</v>
      </c>
      <c r="E276" t="s">
        <v>10</v>
      </c>
      <c r="F276" t="s">
        <v>13</v>
      </c>
      <c r="G276">
        <v>2</v>
      </c>
      <c r="H276" s="9">
        <v>11790</v>
      </c>
      <c r="I276" t="s">
        <v>828</v>
      </c>
    </row>
    <row r="277" spans="1:9" x14ac:dyDescent="0.3">
      <c r="A277">
        <v>2016</v>
      </c>
      <c r="B277" t="s">
        <v>8</v>
      </c>
      <c r="C277">
        <v>48300</v>
      </c>
      <c r="D277" t="s">
        <v>14</v>
      </c>
      <c r="E277" t="s">
        <v>10</v>
      </c>
      <c r="F277" t="s">
        <v>13</v>
      </c>
      <c r="G277">
        <v>2</v>
      </c>
      <c r="H277" s="9">
        <v>11700</v>
      </c>
      <c r="I277" t="s">
        <v>830</v>
      </c>
    </row>
    <row r="278" spans="1:9" x14ac:dyDescent="0.3">
      <c r="A278">
        <v>2014</v>
      </c>
      <c r="B278" t="s">
        <v>8</v>
      </c>
      <c r="C278">
        <v>49432</v>
      </c>
      <c r="D278" t="s">
        <v>14</v>
      </c>
      <c r="E278" t="s">
        <v>10</v>
      </c>
      <c r="F278" t="s">
        <v>13</v>
      </c>
      <c r="G278">
        <v>4</v>
      </c>
      <c r="H278" s="9">
        <v>11695</v>
      </c>
      <c r="I278" t="s">
        <v>828</v>
      </c>
    </row>
    <row r="279" spans="1:9" x14ac:dyDescent="0.3">
      <c r="A279">
        <v>2017</v>
      </c>
      <c r="B279" t="s">
        <v>8</v>
      </c>
      <c r="C279">
        <v>60000</v>
      </c>
      <c r="D279" t="s">
        <v>9</v>
      </c>
      <c r="E279" t="s">
        <v>10</v>
      </c>
      <c r="F279" t="s">
        <v>11</v>
      </c>
      <c r="G279">
        <v>1</v>
      </c>
      <c r="H279" s="9">
        <v>11690</v>
      </c>
      <c r="I279" t="s">
        <v>828</v>
      </c>
    </row>
    <row r="280" spans="1:9" x14ac:dyDescent="0.3">
      <c r="A280">
        <v>2015</v>
      </c>
      <c r="B280" t="s">
        <v>8</v>
      </c>
      <c r="C280">
        <v>50789</v>
      </c>
      <c r="D280" t="s">
        <v>14</v>
      </c>
      <c r="E280" t="s">
        <v>10</v>
      </c>
      <c r="F280" t="s">
        <v>13</v>
      </c>
      <c r="G280">
        <v>2</v>
      </c>
      <c r="H280" s="9">
        <v>11620</v>
      </c>
      <c r="I280" t="s">
        <v>829</v>
      </c>
    </row>
    <row r="281" spans="1:9" x14ac:dyDescent="0.3">
      <c r="A281">
        <v>2016</v>
      </c>
      <c r="B281" t="s">
        <v>8</v>
      </c>
      <c r="C281">
        <v>50765</v>
      </c>
      <c r="D281" t="s">
        <v>14</v>
      </c>
      <c r="E281" t="s">
        <v>10</v>
      </c>
      <c r="F281" t="s">
        <v>13</v>
      </c>
      <c r="G281">
        <v>2</v>
      </c>
      <c r="H281" s="9">
        <v>11590</v>
      </c>
      <c r="I281" t="s">
        <v>831</v>
      </c>
    </row>
    <row r="282" spans="1:9" x14ac:dyDescent="0.3">
      <c r="A282">
        <v>2015</v>
      </c>
      <c r="B282" t="s">
        <v>8</v>
      </c>
      <c r="C282">
        <v>69000</v>
      </c>
      <c r="D282" t="s">
        <v>14</v>
      </c>
      <c r="E282" t="s">
        <v>15</v>
      </c>
      <c r="F282" t="s">
        <v>13</v>
      </c>
      <c r="G282">
        <v>2</v>
      </c>
      <c r="H282" s="9">
        <v>11500</v>
      </c>
      <c r="I282" t="s">
        <v>830</v>
      </c>
    </row>
    <row r="283" spans="1:9" x14ac:dyDescent="0.3">
      <c r="A283">
        <v>2016</v>
      </c>
      <c r="B283" t="s">
        <v>8</v>
      </c>
      <c r="C283">
        <v>55216</v>
      </c>
      <c r="D283" t="s">
        <v>14</v>
      </c>
      <c r="E283" t="s">
        <v>10</v>
      </c>
      <c r="F283" t="s">
        <v>13</v>
      </c>
      <c r="G283">
        <v>2</v>
      </c>
      <c r="H283" s="9">
        <v>11500</v>
      </c>
      <c r="I283" t="s">
        <v>830</v>
      </c>
    </row>
    <row r="284" spans="1:9" x14ac:dyDescent="0.3">
      <c r="A284">
        <v>2015</v>
      </c>
      <c r="B284" t="s">
        <v>8</v>
      </c>
      <c r="C284">
        <v>55159</v>
      </c>
      <c r="D284" t="s">
        <v>14</v>
      </c>
      <c r="E284" t="s">
        <v>15</v>
      </c>
      <c r="F284" t="s">
        <v>13</v>
      </c>
      <c r="G284">
        <v>5</v>
      </c>
      <c r="H284" s="9">
        <v>11499</v>
      </c>
      <c r="I284" t="s">
        <v>830</v>
      </c>
    </row>
    <row r="285" spans="1:9" x14ac:dyDescent="0.3">
      <c r="A285">
        <v>2014</v>
      </c>
      <c r="B285" t="s">
        <v>8</v>
      </c>
      <c r="C285">
        <v>47000</v>
      </c>
      <c r="D285" t="s">
        <v>14</v>
      </c>
      <c r="E285" t="s">
        <v>10</v>
      </c>
      <c r="F285" t="s">
        <v>13</v>
      </c>
      <c r="G285">
        <v>1</v>
      </c>
      <c r="H285" s="9">
        <v>11499</v>
      </c>
      <c r="I285" t="s">
        <v>829</v>
      </c>
    </row>
    <row r="286" spans="1:9" x14ac:dyDescent="0.3">
      <c r="A286">
        <v>2015</v>
      </c>
      <c r="B286" t="s">
        <v>8</v>
      </c>
      <c r="C286">
        <v>49000</v>
      </c>
      <c r="D286" t="s">
        <v>9</v>
      </c>
      <c r="E286" t="s">
        <v>10</v>
      </c>
      <c r="F286" t="s">
        <v>11</v>
      </c>
      <c r="G286">
        <v>2</v>
      </c>
      <c r="H286" s="9">
        <v>11495</v>
      </c>
      <c r="I286" t="s">
        <v>829</v>
      </c>
    </row>
    <row r="287" spans="1:9" x14ac:dyDescent="0.3">
      <c r="A287">
        <v>2018</v>
      </c>
      <c r="B287" t="s">
        <v>8</v>
      </c>
      <c r="C287">
        <v>55305</v>
      </c>
      <c r="D287" t="s">
        <v>14</v>
      </c>
      <c r="E287" t="s">
        <v>10</v>
      </c>
      <c r="F287" t="s">
        <v>13</v>
      </c>
      <c r="G287">
        <v>2</v>
      </c>
      <c r="H287" s="9">
        <v>11495</v>
      </c>
      <c r="I287" t="s">
        <v>828</v>
      </c>
    </row>
    <row r="288" spans="1:9" x14ac:dyDescent="0.3">
      <c r="A288">
        <v>2015</v>
      </c>
      <c r="B288" t="s">
        <v>8</v>
      </c>
      <c r="C288">
        <v>74074</v>
      </c>
      <c r="D288" t="s">
        <v>14</v>
      </c>
      <c r="E288" t="s">
        <v>10</v>
      </c>
      <c r="F288" t="s">
        <v>13</v>
      </c>
      <c r="G288">
        <v>2</v>
      </c>
      <c r="H288" s="9">
        <v>11495</v>
      </c>
      <c r="I288" t="s">
        <v>830</v>
      </c>
    </row>
    <row r="289" spans="1:9" x14ac:dyDescent="0.3">
      <c r="A289">
        <v>2017</v>
      </c>
      <c r="B289" t="s">
        <v>8</v>
      </c>
      <c r="C289">
        <v>52000</v>
      </c>
      <c r="D289" t="s">
        <v>12</v>
      </c>
      <c r="E289" t="s">
        <v>10</v>
      </c>
      <c r="F289" t="s">
        <v>13</v>
      </c>
      <c r="G289">
        <v>1</v>
      </c>
      <c r="H289" s="9">
        <v>11495</v>
      </c>
      <c r="I289" t="s">
        <v>831</v>
      </c>
    </row>
    <row r="290" spans="1:9" x14ac:dyDescent="0.3">
      <c r="A290">
        <v>2015</v>
      </c>
      <c r="B290" t="s">
        <v>8</v>
      </c>
      <c r="C290">
        <v>30700</v>
      </c>
      <c r="D290" t="s">
        <v>14</v>
      </c>
      <c r="E290" t="s">
        <v>10</v>
      </c>
      <c r="F290" t="s">
        <v>13</v>
      </c>
      <c r="G290">
        <v>2</v>
      </c>
      <c r="H290" s="9">
        <v>11494</v>
      </c>
      <c r="I290" t="s">
        <v>829</v>
      </c>
    </row>
    <row r="291" spans="1:9" x14ac:dyDescent="0.3">
      <c r="A291">
        <v>2016</v>
      </c>
      <c r="B291" t="s">
        <v>8</v>
      </c>
      <c r="C291">
        <v>32000</v>
      </c>
      <c r="D291" t="s">
        <v>12</v>
      </c>
      <c r="E291" t="s">
        <v>10</v>
      </c>
      <c r="F291" t="s">
        <v>13</v>
      </c>
      <c r="G291">
        <v>2</v>
      </c>
      <c r="H291" s="9">
        <v>11490</v>
      </c>
      <c r="I291" t="s">
        <v>828</v>
      </c>
    </row>
    <row r="292" spans="1:9" x14ac:dyDescent="0.3">
      <c r="A292">
        <v>2015</v>
      </c>
      <c r="B292" t="s">
        <v>8</v>
      </c>
      <c r="C292">
        <v>33000</v>
      </c>
      <c r="D292" t="s">
        <v>14</v>
      </c>
      <c r="E292" t="s">
        <v>10</v>
      </c>
      <c r="F292" t="s">
        <v>13</v>
      </c>
      <c r="G292">
        <v>2</v>
      </c>
      <c r="H292" s="9">
        <v>11490</v>
      </c>
      <c r="I292" t="s">
        <v>829</v>
      </c>
    </row>
    <row r="293" spans="1:9" x14ac:dyDescent="0.3">
      <c r="A293">
        <v>2015</v>
      </c>
      <c r="B293" t="s">
        <v>8</v>
      </c>
      <c r="C293">
        <v>30051</v>
      </c>
      <c r="D293" t="s">
        <v>14</v>
      </c>
      <c r="E293" t="s">
        <v>10</v>
      </c>
      <c r="F293" t="s">
        <v>13</v>
      </c>
      <c r="G293">
        <v>1</v>
      </c>
      <c r="H293" s="9">
        <v>11490</v>
      </c>
      <c r="I293" t="s">
        <v>829</v>
      </c>
    </row>
    <row r="294" spans="1:9" x14ac:dyDescent="0.3">
      <c r="A294">
        <v>2014</v>
      </c>
      <c r="B294" t="s">
        <v>8</v>
      </c>
      <c r="C294">
        <v>53552</v>
      </c>
      <c r="D294" t="s">
        <v>14</v>
      </c>
      <c r="E294" t="s">
        <v>15</v>
      </c>
      <c r="F294" t="s">
        <v>13</v>
      </c>
      <c r="G294">
        <v>3</v>
      </c>
      <c r="H294" s="9">
        <v>11489</v>
      </c>
      <c r="I294" t="s">
        <v>830</v>
      </c>
    </row>
    <row r="295" spans="1:9" x14ac:dyDescent="0.3">
      <c r="A295">
        <v>2015</v>
      </c>
      <c r="B295" t="s">
        <v>8</v>
      </c>
      <c r="C295">
        <v>55000</v>
      </c>
      <c r="D295" t="s">
        <v>9</v>
      </c>
      <c r="E295" t="s">
        <v>10</v>
      </c>
      <c r="F295" t="s">
        <v>11</v>
      </c>
      <c r="G295">
        <v>3</v>
      </c>
      <c r="H295" s="9">
        <v>11454</v>
      </c>
      <c r="I295" t="s">
        <v>831</v>
      </c>
    </row>
    <row r="296" spans="1:9" x14ac:dyDescent="0.3">
      <c r="A296">
        <v>2016</v>
      </c>
      <c r="B296" t="s">
        <v>8</v>
      </c>
      <c r="C296">
        <v>88098</v>
      </c>
      <c r="D296" t="s">
        <v>14</v>
      </c>
      <c r="E296" t="s">
        <v>10</v>
      </c>
      <c r="F296" t="s">
        <v>13</v>
      </c>
      <c r="G296">
        <v>4</v>
      </c>
      <c r="H296" s="9">
        <v>11450</v>
      </c>
      <c r="I296" t="s">
        <v>830</v>
      </c>
    </row>
    <row r="297" spans="1:9" x14ac:dyDescent="0.3">
      <c r="A297">
        <v>2016</v>
      </c>
      <c r="B297" t="s">
        <v>8</v>
      </c>
      <c r="C297">
        <v>36242</v>
      </c>
      <c r="D297" t="s">
        <v>9</v>
      </c>
      <c r="E297" t="s">
        <v>10</v>
      </c>
      <c r="F297" t="s">
        <v>11</v>
      </c>
      <c r="G297">
        <v>2</v>
      </c>
      <c r="H297" s="9">
        <v>11399</v>
      </c>
      <c r="I297" t="s">
        <v>829</v>
      </c>
    </row>
    <row r="298" spans="1:9" x14ac:dyDescent="0.3">
      <c r="A298">
        <v>2017</v>
      </c>
      <c r="B298" t="s">
        <v>8</v>
      </c>
      <c r="C298">
        <v>44183</v>
      </c>
      <c r="D298" t="s">
        <v>9</v>
      </c>
      <c r="E298" t="s">
        <v>10</v>
      </c>
      <c r="F298" t="s">
        <v>11</v>
      </c>
      <c r="G298">
        <v>2</v>
      </c>
      <c r="H298" s="9">
        <v>11390</v>
      </c>
      <c r="I298" t="s">
        <v>830</v>
      </c>
    </row>
    <row r="299" spans="1:9" x14ac:dyDescent="0.3">
      <c r="A299">
        <v>2016</v>
      </c>
      <c r="B299" t="s">
        <v>8</v>
      </c>
      <c r="C299">
        <v>32292</v>
      </c>
      <c r="D299" t="s">
        <v>14</v>
      </c>
      <c r="E299" t="s">
        <v>10</v>
      </c>
      <c r="F299" t="s">
        <v>13</v>
      </c>
      <c r="G299">
        <v>4</v>
      </c>
      <c r="H299" s="9">
        <v>11300</v>
      </c>
      <c r="I299" t="s">
        <v>828</v>
      </c>
    </row>
    <row r="300" spans="1:9" x14ac:dyDescent="0.3">
      <c r="A300">
        <v>2017</v>
      </c>
      <c r="B300" t="s">
        <v>8</v>
      </c>
      <c r="C300">
        <v>50187</v>
      </c>
      <c r="D300" t="s">
        <v>14</v>
      </c>
      <c r="E300" t="s">
        <v>10</v>
      </c>
      <c r="F300" t="s">
        <v>13</v>
      </c>
      <c r="G300">
        <v>2</v>
      </c>
      <c r="H300" s="9">
        <v>11300</v>
      </c>
      <c r="I300" t="s">
        <v>830</v>
      </c>
    </row>
    <row r="301" spans="1:9" x14ac:dyDescent="0.3">
      <c r="A301">
        <v>2015</v>
      </c>
      <c r="B301" t="s">
        <v>8</v>
      </c>
      <c r="C301">
        <v>39000</v>
      </c>
      <c r="D301" t="s">
        <v>9</v>
      </c>
      <c r="E301" t="s">
        <v>10</v>
      </c>
      <c r="F301" t="s">
        <v>11</v>
      </c>
      <c r="G301">
        <v>3</v>
      </c>
      <c r="H301" s="9">
        <v>11299</v>
      </c>
      <c r="I301" t="s">
        <v>828</v>
      </c>
    </row>
    <row r="302" spans="1:9" x14ac:dyDescent="0.3">
      <c r="A302">
        <v>2014</v>
      </c>
      <c r="B302" t="s">
        <v>8</v>
      </c>
      <c r="C302">
        <v>26700</v>
      </c>
      <c r="D302" t="s">
        <v>14</v>
      </c>
      <c r="E302" t="s">
        <v>10</v>
      </c>
      <c r="F302" t="s">
        <v>13</v>
      </c>
      <c r="G302">
        <v>1</v>
      </c>
      <c r="H302" s="9">
        <v>11295</v>
      </c>
      <c r="I302" t="s">
        <v>828</v>
      </c>
    </row>
    <row r="303" spans="1:9" x14ac:dyDescent="0.3">
      <c r="A303">
        <v>2016</v>
      </c>
      <c r="B303" t="s">
        <v>8</v>
      </c>
      <c r="C303">
        <v>69900</v>
      </c>
      <c r="D303" t="s">
        <v>14</v>
      </c>
      <c r="E303" t="s">
        <v>10</v>
      </c>
      <c r="F303" t="s">
        <v>13</v>
      </c>
      <c r="G303">
        <v>1</v>
      </c>
      <c r="H303" s="9">
        <v>11280</v>
      </c>
      <c r="I303" t="s">
        <v>829</v>
      </c>
    </row>
    <row r="304" spans="1:9" x14ac:dyDescent="0.3">
      <c r="A304">
        <v>2014</v>
      </c>
      <c r="B304" t="s">
        <v>8</v>
      </c>
      <c r="C304">
        <v>40195</v>
      </c>
      <c r="D304" t="s">
        <v>14</v>
      </c>
      <c r="E304" t="s">
        <v>15</v>
      </c>
      <c r="F304" t="s">
        <v>13</v>
      </c>
      <c r="G304">
        <v>3</v>
      </c>
      <c r="H304" s="9">
        <v>11275</v>
      </c>
      <c r="I304" t="s">
        <v>831</v>
      </c>
    </row>
    <row r="305" spans="1:9" x14ac:dyDescent="0.3">
      <c r="A305">
        <v>2014</v>
      </c>
      <c r="B305" t="s">
        <v>8</v>
      </c>
      <c r="C305">
        <v>30718</v>
      </c>
      <c r="D305" t="s">
        <v>14</v>
      </c>
      <c r="E305" t="s">
        <v>10</v>
      </c>
      <c r="F305" t="s">
        <v>13</v>
      </c>
      <c r="G305">
        <v>4</v>
      </c>
      <c r="H305" s="9">
        <v>11268</v>
      </c>
      <c r="I305" t="s">
        <v>830</v>
      </c>
    </row>
    <row r="306" spans="1:9" x14ac:dyDescent="0.3">
      <c r="A306">
        <v>2016</v>
      </c>
      <c r="B306" t="s">
        <v>8</v>
      </c>
      <c r="C306">
        <v>36319</v>
      </c>
      <c r="D306" t="s">
        <v>12</v>
      </c>
      <c r="E306" t="s">
        <v>10</v>
      </c>
      <c r="F306" t="s">
        <v>13</v>
      </c>
      <c r="G306">
        <v>2</v>
      </c>
      <c r="H306" s="9">
        <v>11200</v>
      </c>
      <c r="I306" t="s">
        <v>830</v>
      </c>
    </row>
    <row r="307" spans="1:9" x14ac:dyDescent="0.3">
      <c r="A307">
        <v>2016</v>
      </c>
      <c r="B307" t="s">
        <v>8</v>
      </c>
      <c r="C307">
        <v>41628</v>
      </c>
      <c r="D307" t="s">
        <v>14</v>
      </c>
      <c r="E307" t="s">
        <v>10</v>
      </c>
      <c r="F307" t="s">
        <v>13</v>
      </c>
      <c r="G307">
        <v>2</v>
      </c>
      <c r="H307" s="9">
        <v>11200</v>
      </c>
      <c r="I307" t="s">
        <v>830</v>
      </c>
    </row>
    <row r="308" spans="1:9" x14ac:dyDescent="0.3">
      <c r="A308">
        <v>2015</v>
      </c>
      <c r="B308" t="s">
        <v>8</v>
      </c>
      <c r="C308">
        <v>68700</v>
      </c>
      <c r="D308" t="s">
        <v>14</v>
      </c>
      <c r="E308" t="s">
        <v>15</v>
      </c>
      <c r="F308" t="s">
        <v>13</v>
      </c>
      <c r="G308">
        <v>2</v>
      </c>
      <c r="H308" s="9">
        <v>11183</v>
      </c>
      <c r="I308" t="s">
        <v>829</v>
      </c>
    </row>
    <row r="309" spans="1:9" x14ac:dyDescent="0.3">
      <c r="A309">
        <v>2014</v>
      </c>
      <c r="B309" t="s">
        <v>8</v>
      </c>
      <c r="C309">
        <v>62057</v>
      </c>
      <c r="D309" t="s">
        <v>18</v>
      </c>
      <c r="E309" t="s">
        <v>10</v>
      </c>
      <c r="F309" t="s">
        <v>11</v>
      </c>
      <c r="G309">
        <v>2</v>
      </c>
      <c r="H309" s="9">
        <v>11115</v>
      </c>
      <c r="I309" t="s">
        <v>829</v>
      </c>
    </row>
    <row r="310" spans="1:9" x14ac:dyDescent="0.3">
      <c r="A310">
        <v>2017</v>
      </c>
      <c r="B310" t="s">
        <v>8</v>
      </c>
      <c r="C310">
        <v>80253</v>
      </c>
      <c r="D310" t="s">
        <v>9</v>
      </c>
      <c r="E310" t="s">
        <v>10</v>
      </c>
      <c r="F310" t="s">
        <v>11</v>
      </c>
      <c r="G310">
        <v>2</v>
      </c>
      <c r="H310" s="9">
        <v>11099</v>
      </c>
      <c r="I310" t="s">
        <v>828</v>
      </c>
    </row>
    <row r="311" spans="1:9" x14ac:dyDescent="0.3">
      <c r="A311">
        <v>2016</v>
      </c>
      <c r="B311" t="s">
        <v>8</v>
      </c>
      <c r="C311">
        <v>48800</v>
      </c>
      <c r="D311" t="s">
        <v>12</v>
      </c>
      <c r="E311" t="s">
        <v>10</v>
      </c>
      <c r="F311" t="s">
        <v>13</v>
      </c>
      <c r="G311">
        <v>3</v>
      </c>
      <c r="H311" s="9">
        <v>11099</v>
      </c>
      <c r="I311" t="s">
        <v>830</v>
      </c>
    </row>
    <row r="312" spans="1:9" x14ac:dyDescent="0.3">
      <c r="A312">
        <v>2014</v>
      </c>
      <c r="B312" t="s">
        <v>8</v>
      </c>
      <c r="C312">
        <v>61550</v>
      </c>
      <c r="D312" t="s">
        <v>14</v>
      </c>
      <c r="E312" t="s">
        <v>15</v>
      </c>
      <c r="F312" t="s">
        <v>13</v>
      </c>
      <c r="G312">
        <v>6</v>
      </c>
      <c r="H312" s="9">
        <v>11000</v>
      </c>
      <c r="I312" t="s">
        <v>831</v>
      </c>
    </row>
    <row r="313" spans="1:9" x14ac:dyDescent="0.3">
      <c r="A313">
        <v>2015</v>
      </c>
      <c r="B313" t="s">
        <v>8</v>
      </c>
      <c r="C313">
        <v>46388</v>
      </c>
      <c r="D313" t="s">
        <v>14</v>
      </c>
      <c r="E313" t="s">
        <v>10</v>
      </c>
      <c r="F313" t="s">
        <v>13</v>
      </c>
      <c r="G313">
        <v>3</v>
      </c>
      <c r="H313" s="9">
        <v>10999</v>
      </c>
      <c r="I313" t="s">
        <v>829</v>
      </c>
    </row>
    <row r="314" spans="1:9" x14ac:dyDescent="0.3">
      <c r="A314">
        <v>2016</v>
      </c>
      <c r="B314" t="s">
        <v>8</v>
      </c>
      <c r="C314">
        <v>40009</v>
      </c>
      <c r="D314" t="s">
        <v>9</v>
      </c>
      <c r="E314" t="s">
        <v>10</v>
      </c>
      <c r="F314" t="s">
        <v>11</v>
      </c>
      <c r="G314">
        <v>2</v>
      </c>
      <c r="H314" s="9">
        <v>10995</v>
      </c>
      <c r="I314" t="s">
        <v>828</v>
      </c>
    </row>
    <row r="315" spans="1:9" x14ac:dyDescent="0.3">
      <c r="A315">
        <v>2017</v>
      </c>
      <c r="B315" t="s">
        <v>8</v>
      </c>
      <c r="C315">
        <v>79500</v>
      </c>
      <c r="D315" t="s">
        <v>14</v>
      </c>
      <c r="E315" t="s">
        <v>10</v>
      </c>
      <c r="F315" t="s">
        <v>13</v>
      </c>
      <c r="G315">
        <v>1</v>
      </c>
      <c r="H315" s="9">
        <v>10995</v>
      </c>
      <c r="I315" t="s">
        <v>829</v>
      </c>
    </row>
    <row r="316" spans="1:9" x14ac:dyDescent="0.3">
      <c r="A316">
        <v>2016</v>
      </c>
      <c r="B316" t="s">
        <v>8</v>
      </c>
      <c r="C316">
        <v>36610</v>
      </c>
      <c r="D316" t="s">
        <v>9</v>
      </c>
      <c r="E316" t="s">
        <v>10</v>
      </c>
      <c r="F316" t="s">
        <v>11</v>
      </c>
      <c r="G316">
        <v>2</v>
      </c>
      <c r="H316" s="9">
        <v>10995</v>
      </c>
      <c r="I316" t="s">
        <v>829</v>
      </c>
    </row>
    <row r="317" spans="1:9" x14ac:dyDescent="0.3">
      <c r="A317">
        <v>2015</v>
      </c>
      <c r="B317" t="s">
        <v>8</v>
      </c>
      <c r="C317">
        <v>56063</v>
      </c>
      <c r="D317" t="s">
        <v>14</v>
      </c>
      <c r="E317" t="s">
        <v>10</v>
      </c>
      <c r="F317" t="s">
        <v>13</v>
      </c>
      <c r="G317">
        <v>3</v>
      </c>
      <c r="H317" s="9">
        <v>10995</v>
      </c>
      <c r="I317" t="s">
        <v>830</v>
      </c>
    </row>
    <row r="318" spans="1:9" x14ac:dyDescent="0.3">
      <c r="A318">
        <v>2014</v>
      </c>
      <c r="B318" t="s">
        <v>8</v>
      </c>
      <c r="C318">
        <v>46400</v>
      </c>
      <c r="D318" t="s">
        <v>16</v>
      </c>
      <c r="E318" t="s">
        <v>10</v>
      </c>
      <c r="F318" t="s">
        <v>13</v>
      </c>
      <c r="G318">
        <v>3</v>
      </c>
      <c r="H318" s="9">
        <v>10995</v>
      </c>
      <c r="I318" t="s">
        <v>831</v>
      </c>
    </row>
    <row r="319" spans="1:9" x14ac:dyDescent="0.3">
      <c r="A319">
        <v>2014</v>
      </c>
      <c r="B319" t="s">
        <v>8</v>
      </c>
      <c r="C319">
        <v>58000</v>
      </c>
      <c r="D319" t="s">
        <v>14</v>
      </c>
      <c r="E319" t="s">
        <v>10</v>
      </c>
      <c r="F319" t="s">
        <v>13</v>
      </c>
      <c r="G319">
        <v>4</v>
      </c>
      <c r="H319" s="9">
        <v>10995</v>
      </c>
      <c r="I319" t="s">
        <v>830</v>
      </c>
    </row>
    <row r="320" spans="1:9" x14ac:dyDescent="0.3">
      <c r="A320">
        <v>2017</v>
      </c>
      <c r="B320" t="s">
        <v>8</v>
      </c>
      <c r="C320">
        <v>78300</v>
      </c>
      <c r="D320" t="s">
        <v>12</v>
      </c>
      <c r="E320" t="s">
        <v>10</v>
      </c>
      <c r="F320" t="s">
        <v>13</v>
      </c>
      <c r="G320">
        <v>2</v>
      </c>
      <c r="H320" s="9">
        <v>10995</v>
      </c>
      <c r="I320" t="s">
        <v>829</v>
      </c>
    </row>
    <row r="321" spans="1:9" x14ac:dyDescent="0.3">
      <c r="A321">
        <v>2014</v>
      </c>
      <c r="B321" t="s">
        <v>8</v>
      </c>
      <c r="C321">
        <v>50000</v>
      </c>
      <c r="D321" t="s">
        <v>9</v>
      </c>
      <c r="E321" t="s">
        <v>10</v>
      </c>
      <c r="F321" t="s">
        <v>11</v>
      </c>
      <c r="G321">
        <v>4</v>
      </c>
      <c r="H321" s="9">
        <v>10990</v>
      </c>
      <c r="I321" t="s">
        <v>830</v>
      </c>
    </row>
    <row r="322" spans="1:9" x14ac:dyDescent="0.3">
      <c r="A322">
        <v>2016</v>
      </c>
      <c r="B322" t="s">
        <v>8</v>
      </c>
      <c r="C322">
        <v>37963</v>
      </c>
      <c r="D322" t="s">
        <v>12</v>
      </c>
      <c r="E322" t="s">
        <v>10</v>
      </c>
      <c r="F322" t="s">
        <v>13</v>
      </c>
      <c r="G322">
        <v>2</v>
      </c>
      <c r="H322" s="9">
        <v>10990</v>
      </c>
      <c r="I322" t="s">
        <v>828</v>
      </c>
    </row>
    <row r="323" spans="1:9" x14ac:dyDescent="0.3">
      <c r="A323">
        <v>2017</v>
      </c>
      <c r="B323" t="s">
        <v>8</v>
      </c>
      <c r="C323">
        <v>64986</v>
      </c>
      <c r="D323" t="s">
        <v>9</v>
      </c>
      <c r="E323" t="s">
        <v>10</v>
      </c>
      <c r="F323" t="s">
        <v>11</v>
      </c>
      <c r="G323">
        <v>1</v>
      </c>
      <c r="H323" s="9">
        <v>10990</v>
      </c>
      <c r="I323" t="s">
        <v>830</v>
      </c>
    </row>
    <row r="324" spans="1:9" x14ac:dyDescent="0.3">
      <c r="A324">
        <v>2018</v>
      </c>
      <c r="B324" t="s">
        <v>8</v>
      </c>
      <c r="C324">
        <v>70633</v>
      </c>
      <c r="D324" t="s">
        <v>12</v>
      </c>
      <c r="E324" t="s">
        <v>10</v>
      </c>
      <c r="F324" t="s">
        <v>13</v>
      </c>
      <c r="G324">
        <v>1</v>
      </c>
      <c r="H324" s="9">
        <v>10980</v>
      </c>
      <c r="I324" t="s">
        <v>828</v>
      </c>
    </row>
    <row r="325" spans="1:9" x14ac:dyDescent="0.3">
      <c r="A325">
        <v>2016</v>
      </c>
      <c r="B325" t="s">
        <v>8</v>
      </c>
      <c r="C325">
        <v>81094</v>
      </c>
      <c r="D325" t="s">
        <v>14</v>
      </c>
      <c r="E325" t="s">
        <v>10</v>
      </c>
      <c r="F325" t="s">
        <v>13</v>
      </c>
      <c r="G325">
        <v>2</v>
      </c>
      <c r="H325" s="9">
        <v>10950</v>
      </c>
      <c r="I325" t="s">
        <v>828</v>
      </c>
    </row>
    <row r="326" spans="1:9" x14ac:dyDescent="0.3">
      <c r="A326">
        <v>2016</v>
      </c>
      <c r="B326" t="s">
        <v>8</v>
      </c>
      <c r="C326">
        <v>28350</v>
      </c>
      <c r="D326" t="s">
        <v>12</v>
      </c>
      <c r="E326" t="s">
        <v>10</v>
      </c>
      <c r="F326" t="s">
        <v>13</v>
      </c>
      <c r="G326">
        <v>3</v>
      </c>
      <c r="H326" s="9">
        <v>10890</v>
      </c>
      <c r="I326" t="s">
        <v>829</v>
      </c>
    </row>
    <row r="327" spans="1:9" x14ac:dyDescent="0.3">
      <c r="A327">
        <v>2014</v>
      </c>
      <c r="B327" t="s">
        <v>8</v>
      </c>
      <c r="C327">
        <v>44000</v>
      </c>
      <c r="D327" t="s">
        <v>14</v>
      </c>
      <c r="E327" t="s">
        <v>15</v>
      </c>
      <c r="F327" t="s">
        <v>13</v>
      </c>
      <c r="G327">
        <v>2</v>
      </c>
      <c r="H327" s="9">
        <v>10890</v>
      </c>
      <c r="I327" t="s">
        <v>831</v>
      </c>
    </row>
    <row r="328" spans="1:9" x14ac:dyDescent="0.3">
      <c r="A328">
        <v>2015</v>
      </c>
      <c r="B328" t="s">
        <v>8</v>
      </c>
      <c r="C328">
        <v>51000</v>
      </c>
      <c r="D328" t="s">
        <v>14</v>
      </c>
      <c r="E328" t="s">
        <v>10</v>
      </c>
      <c r="F328" t="s">
        <v>13</v>
      </c>
      <c r="G328">
        <v>3</v>
      </c>
      <c r="H328" s="9">
        <v>10888</v>
      </c>
      <c r="I328" t="s">
        <v>830</v>
      </c>
    </row>
    <row r="329" spans="1:9" x14ac:dyDescent="0.3">
      <c r="A329">
        <v>2015</v>
      </c>
      <c r="B329" t="s">
        <v>8</v>
      </c>
      <c r="C329">
        <v>42700</v>
      </c>
      <c r="D329" t="s">
        <v>14</v>
      </c>
      <c r="E329" t="s">
        <v>10</v>
      </c>
      <c r="F329" t="s">
        <v>13</v>
      </c>
      <c r="G329">
        <v>2</v>
      </c>
      <c r="H329" s="9">
        <v>10799</v>
      </c>
      <c r="I329" t="s">
        <v>830</v>
      </c>
    </row>
    <row r="330" spans="1:9" x14ac:dyDescent="0.3">
      <c r="A330">
        <v>2016</v>
      </c>
      <c r="B330" t="s">
        <v>8</v>
      </c>
      <c r="C330">
        <v>40236</v>
      </c>
      <c r="D330" t="s">
        <v>14</v>
      </c>
      <c r="E330" t="s">
        <v>10</v>
      </c>
      <c r="F330" t="s">
        <v>13</v>
      </c>
      <c r="G330">
        <v>1</v>
      </c>
      <c r="H330" s="9">
        <v>10790</v>
      </c>
      <c r="I330" t="s">
        <v>830</v>
      </c>
    </row>
    <row r="331" spans="1:9" x14ac:dyDescent="0.3">
      <c r="A331">
        <v>2017</v>
      </c>
      <c r="B331" t="s">
        <v>8</v>
      </c>
      <c r="C331">
        <v>55747</v>
      </c>
      <c r="D331" t="s">
        <v>12</v>
      </c>
      <c r="E331" t="s">
        <v>15</v>
      </c>
      <c r="F331" t="s">
        <v>13</v>
      </c>
      <c r="G331">
        <v>2</v>
      </c>
      <c r="H331" s="9">
        <v>10779</v>
      </c>
      <c r="I331" t="s">
        <v>829</v>
      </c>
    </row>
    <row r="332" spans="1:9" x14ac:dyDescent="0.3">
      <c r="A332">
        <v>2016</v>
      </c>
      <c r="B332" t="s">
        <v>8</v>
      </c>
      <c r="C332">
        <v>42596</v>
      </c>
      <c r="D332" t="s">
        <v>12</v>
      </c>
      <c r="E332" t="s">
        <v>10</v>
      </c>
      <c r="F332" t="s">
        <v>13</v>
      </c>
      <c r="G332">
        <v>3</v>
      </c>
      <c r="H332" s="9">
        <v>10755</v>
      </c>
      <c r="I332" t="s">
        <v>829</v>
      </c>
    </row>
    <row r="333" spans="1:9" x14ac:dyDescent="0.3">
      <c r="A333">
        <v>2016</v>
      </c>
      <c r="B333" t="s">
        <v>8</v>
      </c>
      <c r="C333">
        <v>74367</v>
      </c>
      <c r="D333" t="s">
        <v>9</v>
      </c>
      <c r="E333" t="s">
        <v>15</v>
      </c>
      <c r="F333" t="s">
        <v>11</v>
      </c>
      <c r="G333">
        <v>1</v>
      </c>
      <c r="H333" s="9">
        <v>10750</v>
      </c>
      <c r="I333" t="s">
        <v>828</v>
      </c>
    </row>
    <row r="334" spans="1:9" x14ac:dyDescent="0.3">
      <c r="A334">
        <v>2016</v>
      </c>
      <c r="B334" t="s">
        <v>8</v>
      </c>
      <c r="C334">
        <v>63000</v>
      </c>
      <c r="D334" t="s">
        <v>12</v>
      </c>
      <c r="E334" t="s">
        <v>10</v>
      </c>
      <c r="F334" t="s">
        <v>13</v>
      </c>
      <c r="G334">
        <v>3</v>
      </c>
      <c r="H334" s="9">
        <v>10700</v>
      </c>
      <c r="I334" t="s">
        <v>830</v>
      </c>
    </row>
    <row r="335" spans="1:9" x14ac:dyDescent="0.3">
      <c r="A335">
        <v>2016</v>
      </c>
      <c r="B335" t="s">
        <v>8</v>
      </c>
      <c r="C335">
        <v>56659</v>
      </c>
      <c r="D335" t="s">
        <v>12</v>
      </c>
      <c r="E335" t="s">
        <v>10</v>
      </c>
      <c r="F335" t="s">
        <v>13</v>
      </c>
      <c r="G335">
        <v>1</v>
      </c>
      <c r="H335" s="9">
        <v>10699</v>
      </c>
      <c r="I335" t="s">
        <v>831</v>
      </c>
    </row>
    <row r="336" spans="1:9" x14ac:dyDescent="0.3">
      <c r="A336">
        <v>2014</v>
      </c>
      <c r="B336" t="s">
        <v>8</v>
      </c>
      <c r="C336">
        <v>20800</v>
      </c>
      <c r="D336" t="s">
        <v>9</v>
      </c>
      <c r="E336" t="s">
        <v>10</v>
      </c>
      <c r="F336" t="s">
        <v>11</v>
      </c>
      <c r="G336">
        <v>2</v>
      </c>
      <c r="H336" s="9">
        <v>10695</v>
      </c>
      <c r="I336" t="s">
        <v>829</v>
      </c>
    </row>
    <row r="337" spans="1:9" x14ac:dyDescent="0.3">
      <c r="A337">
        <v>2014</v>
      </c>
      <c r="B337" t="s">
        <v>8</v>
      </c>
      <c r="C337">
        <v>61035</v>
      </c>
      <c r="D337" t="s">
        <v>14</v>
      </c>
      <c r="E337" t="s">
        <v>15</v>
      </c>
      <c r="F337" t="s">
        <v>13</v>
      </c>
      <c r="G337">
        <v>2</v>
      </c>
      <c r="H337" s="9">
        <v>10598</v>
      </c>
      <c r="I337" t="s">
        <v>828</v>
      </c>
    </row>
    <row r="338" spans="1:9" x14ac:dyDescent="0.3">
      <c r="A338">
        <v>2017</v>
      </c>
      <c r="B338" t="s">
        <v>8</v>
      </c>
      <c r="C338">
        <v>73534</v>
      </c>
      <c r="D338" t="s">
        <v>14</v>
      </c>
      <c r="E338" t="s">
        <v>10</v>
      </c>
      <c r="F338" t="s">
        <v>13</v>
      </c>
      <c r="G338">
        <v>1</v>
      </c>
      <c r="H338" s="9">
        <v>10579</v>
      </c>
      <c r="I338" t="s">
        <v>829</v>
      </c>
    </row>
    <row r="339" spans="1:9" x14ac:dyDescent="0.3">
      <c r="A339">
        <v>2015</v>
      </c>
      <c r="B339" t="s">
        <v>8</v>
      </c>
      <c r="C339">
        <v>45121</v>
      </c>
      <c r="D339" t="s">
        <v>12</v>
      </c>
      <c r="E339" t="s">
        <v>10</v>
      </c>
      <c r="F339" t="s">
        <v>13</v>
      </c>
      <c r="G339">
        <v>2</v>
      </c>
      <c r="H339" s="9">
        <v>10575</v>
      </c>
      <c r="I339" t="s">
        <v>829</v>
      </c>
    </row>
    <row r="340" spans="1:9" x14ac:dyDescent="0.3">
      <c r="A340">
        <v>2015</v>
      </c>
      <c r="B340" t="s">
        <v>8</v>
      </c>
      <c r="C340">
        <v>64000</v>
      </c>
      <c r="D340" t="s">
        <v>9</v>
      </c>
      <c r="E340" t="s">
        <v>10</v>
      </c>
      <c r="F340" t="s">
        <v>11</v>
      </c>
      <c r="G340">
        <v>2</v>
      </c>
      <c r="H340" s="9">
        <v>10500</v>
      </c>
      <c r="I340" t="s">
        <v>830</v>
      </c>
    </row>
    <row r="341" spans="1:9" x14ac:dyDescent="0.3">
      <c r="A341">
        <v>2015</v>
      </c>
      <c r="B341" t="s">
        <v>8</v>
      </c>
      <c r="C341">
        <v>41000</v>
      </c>
      <c r="D341" t="s">
        <v>12</v>
      </c>
      <c r="E341" t="s">
        <v>10</v>
      </c>
      <c r="F341" t="s">
        <v>13</v>
      </c>
      <c r="G341">
        <v>2</v>
      </c>
      <c r="H341" s="9">
        <v>10499</v>
      </c>
      <c r="I341" t="s">
        <v>831</v>
      </c>
    </row>
    <row r="342" spans="1:9" x14ac:dyDescent="0.3">
      <c r="A342">
        <v>2018</v>
      </c>
      <c r="B342" t="s">
        <v>8</v>
      </c>
      <c r="C342">
        <v>53000</v>
      </c>
      <c r="D342" t="s">
        <v>12</v>
      </c>
      <c r="E342" t="s">
        <v>10</v>
      </c>
      <c r="F342" t="s">
        <v>13</v>
      </c>
      <c r="G342">
        <v>1</v>
      </c>
      <c r="H342" s="9">
        <v>10495</v>
      </c>
      <c r="I342" t="s">
        <v>830</v>
      </c>
    </row>
    <row r="343" spans="1:9" x14ac:dyDescent="0.3">
      <c r="A343">
        <v>2016</v>
      </c>
      <c r="B343" t="s">
        <v>8</v>
      </c>
      <c r="C343">
        <v>44000</v>
      </c>
      <c r="D343" t="s">
        <v>12</v>
      </c>
      <c r="E343" t="s">
        <v>10</v>
      </c>
      <c r="F343" t="s">
        <v>13</v>
      </c>
      <c r="G343">
        <v>1</v>
      </c>
      <c r="H343" s="9">
        <v>10495</v>
      </c>
      <c r="I343" t="s">
        <v>829</v>
      </c>
    </row>
    <row r="344" spans="1:9" x14ac:dyDescent="0.3">
      <c r="A344">
        <v>2017</v>
      </c>
      <c r="B344" t="s">
        <v>8</v>
      </c>
      <c r="C344">
        <v>93000</v>
      </c>
      <c r="D344" t="s">
        <v>9</v>
      </c>
      <c r="E344" t="s">
        <v>10</v>
      </c>
      <c r="F344" t="s">
        <v>11</v>
      </c>
      <c r="G344">
        <v>1</v>
      </c>
      <c r="H344" s="9">
        <v>10490</v>
      </c>
      <c r="I344" t="s">
        <v>830</v>
      </c>
    </row>
    <row r="345" spans="1:9" x14ac:dyDescent="0.3">
      <c r="A345">
        <v>2015</v>
      </c>
      <c r="B345" t="s">
        <v>8</v>
      </c>
      <c r="C345">
        <v>41000</v>
      </c>
      <c r="D345" t="s">
        <v>14</v>
      </c>
      <c r="E345" t="s">
        <v>10</v>
      </c>
      <c r="F345" t="s">
        <v>13</v>
      </c>
      <c r="G345">
        <v>2</v>
      </c>
      <c r="H345" s="9">
        <v>10490</v>
      </c>
      <c r="I345" t="s">
        <v>828</v>
      </c>
    </row>
    <row r="346" spans="1:9" x14ac:dyDescent="0.3">
      <c r="A346">
        <v>2015</v>
      </c>
      <c r="B346" t="s">
        <v>8</v>
      </c>
      <c r="C346">
        <v>34100</v>
      </c>
      <c r="D346" t="s">
        <v>12</v>
      </c>
      <c r="E346" t="s">
        <v>10</v>
      </c>
      <c r="F346" t="s">
        <v>13</v>
      </c>
      <c r="G346">
        <v>2</v>
      </c>
      <c r="H346" s="9">
        <v>10490</v>
      </c>
      <c r="I346" t="s">
        <v>830</v>
      </c>
    </row>
    <row r="347" spans="1:9" x14ac:dyDescent="0.3">
      <c r="A347">
        <v>2016</v>
      </c>
      <c r="B347" t="s">
        <v>8</v>
      </c>
      <c r="C347">
        <v>56284</v>
      </c>
      <c r="D347" t="s">
        <v>14</v>
      </c>
      <c r="E347" t="s">
        <v>10</v>
      </c>
      <c r="F347" t="s">
        <v>13</v>
      </c>
      <c r="G347">
        <v>1</v>
      </c>
      <c r="H347" s="9">
        <v>10480</v>
      </c>
      <c r="I347" t="s">
        <v>828</v>
      </c>
    </row>
    <row r="348" spans="1:9" x14ac:dyDescent="0.3">
      <c r="A348">
        <v>2015</v>
      </c>
      <c r="B348" t="s">
        <v>8</v>
      </c>
      <c r="C348">
        <v>56212</v>
      </c>
      <c r="D348" t="s">
        <v>14</v>
      </c>
      <c r="E348" t="s">
        <v>10</v>
      </c>
      <c r="F348" t="s">
        <v>13</v>
      </c>
      <c r="G348">
        <v>2</v>
      </c>
      <c r="H348" s="9">
        <v>10431</v>
      </c>
      <c r="I348" t="s">
        <v>828</v>
      </c>
    </row>
    <row r="349" spans="1:9" x14ac:dyDescent="0.3">
      <c r="A349">
        <v>2014</v>
      </c>
      <c r="B349" t="s">
        <v>8</v>
      </c>
      <c r="C349">
        <v>45203</v>
      </c>
      <c r="D349" t="s">
        <v>14</v>
      </c>
      <c r="E349" t="s">
        <v>10</v>
      </c>
      <c r="F349" t="s">
        <v>13</v>
      </c>
      <c r="G349">
        <v>2</v>
      </c>
      <c r="H349" s="9">
        <v>10403</v>
      </c>
      <c r="I349" t="s">
        <v>829</v>
      </c>
    </row>
    <row r="350" spans="1:9" x14ac:dyDescent="0.3">
      <c r="A350">
        <v>2015</v>
      </c>
      <c r="B350" t="s">
        <v>8</v>
      </c>
      <c r="C350">
        <v>49168</v>
      </c>
      <c r="D350" t="s">
        <v>12</v>
      </c>
      <c r="E350" t="s">
        <v>10</v>
      </c>
      <c r="F350" t="s">
        <v>13</v>
      </c>
      <c r="G350">
        <v>1</v>
      </c>
      <c r="H350" s="9">
        <v>10350</v>
      </c>
      <c r="I350" t="s">
        <v>831</v>
      </c>
    </row>
    <row r="351" spans="1:9" x14ac:dyDescent="0.3">
      <c r="A351">
        <v>2015</v>
      </c>
      <c r="B351" t="s">
        <v>8</v>
      </c>
      <c r="C351">
        <v>52200</v>
      </c>
      <c r="D351" t="s">
        <v>12</v>
      </c>
      <c r="E351" t="s">
        <v>10</v>
      </c>
      <c r="F351" t="s">
        <v>13</v>
      </c>
      <c r="G351">
        <v>2</v>
      </c>
      <c r="H351" s="9">
        <v>10345</v>
      </c>
      <c r="I351" t="s">
        <v>830</v>
      </c>
    </row>
    <row r="352" spans="1:9" x14ac:dyDescent="0.3">
      <c r="A352">
        <v>2016</v>
      </c>
      <c r="B352" t="s">
        <v>8</v>
      </c>
      <c r="C352">
        <v>55015</v>
      </c>
      <c r="D352" t="s">
        <v>12</v>
      </c>
      <c r="E352" t="s">
        <v>10</v>
      </c>
      <c r="F352" t="s">
        <v>13</v>
      </c>
      <c r="G352">
        <v>2</v>
      </c>
      <c r="H352" s="9">
        <v>10299</v>
      </c>
      <c r="I352" t="s">
        <v>830</v>
      </c>
    </row>
    <row r="353" spans="1:9" x14ac:dyDescent="0.3">
      <c r="A353">
        <v>2016</v>
      </c>
      <c r="B353" t="s">
        <v>8</v>
      </c>
      <c r="C353">
        <v>46000</v>
      </c>
      <c r="D353" t="s">
        <v>12</v>
      </c>
      <c r="E353" t="s">
        <v>10</v>
      </c>
      <c r="F353" t="s">
        <v>13</v>
      </c>
      <c r="G353">
        <v>2</v>
      </c>
      <c r="H353" s="9">
        <v>10299</v>
      </c>
      <c r="I353" t="s">
        <v>830</v>
      </c>
    </row>
    <row r="354" spans="1:9" x14ac:dyDescent="0.3">
      <c r="A354">
        <v>2016</v>
      </c>
      <c r="B354" t="s">
        <v>8</v>
      </c>
      <c r="C354">
        <v>62146</v>
      </c>
      <c r="D354" t="s">
        <v>9</v>
      </c>
      <c r="E354" t="s">
        <v>10</v>
      </c>
      <c r="F354" t="s">
        <v>11</v>
      </c>
      <c r="G354">
        <v>2</v>
      </c>
      <c r="H354" s="9">
        <v>10294</v>
      </c>
      <c r="I354" t="s">
        <v>829</v>
      </c>
    </row>
    <row r="355" spans="1:9" x14ac:dyDescent="0.3">
      <c r="A355">
        <v>2015</v>
      </c>
      <c r="B355" t="s">
        <v>8</v>
      </c>
      <c r="C355">
        <v>44000</v>
      </c>
      <c r="D355" t="s">
        <v>12</v>
      </c>
      <c r="E355" t="s">
        <v>10</v>
      </c>
      <c r="F355" t="s">
        <v>13</v>
      </c>
      <c r="G355">
        <v>2</v>
      </c>
      <c r="H355" s="9">
        <v>10279</v>
      </c>
      <c r="I355" t="s">
        <v>829</v>
      </c>
    </row>
    <row r="356" spans="1:9" x14ac:dyDescent="0.3">
      <c r="A356">
        <v>2015</v>
      </c>
      <c r="B356" t="s">
        <v>8</v>
      </c>
      <c r="C356">
        <v>66391</v>
      </c>
      <c r="D356" t="s">
        <v>14</v>
      </c>
      <c r="E356" t="s">
        <v>10</v>
      </c>
      <c r="F356" t="s">
        <v>13</v>
      </c>
      <c r="G356">
        <v>2</v>
      </c>
      <c r="H356" s="9">
        <v>10250</v>
      </c>
      <c r="I356" t="s">
        <v>828</v>
      </c>
    </row>
    <row r="357" spans="1:9" x14ac:dyDescent="0.3">
      <c r="A357">
        <v>2015</v>
      </c>
      <c r="B357" t="s">
        <v>8</v>
      </c>
      <c r="C357">
        <v>34000</v>
      </c>
      <c r="D357" t="s">
        <v>14</v>
      </c>
      <c r="E357" t="s">
        <v>10</v>
      </c>
      <c r="F357" t="s">
        <v>13</v>
      </c>
      <c r="G357">
        <v>1</v>
      </c>
      <c r="H357" s="9">
        <v>10250</v>
      </c>
      <c r="I357" t="s">
        <v>830</v>
      </c>
    </row>
    <row r="358" spans="1:9" x14ac:dyDescent="0.3">
      <c r="A358">
        <v>2018</v>
      </c>
      <c r="B358" t="s">
        <v>8</v>
      </c>
      <c r="C358">
        <v>86929</v>
      </c>
      <c r="D358" t="s">
        <v>9</v>
      </c>
      <c r="E358" t="s">
        <v>10</v>
      </c>
      <c r="F358" t="s">
        <v>11</v>
      </c>
      <c r="G358">
        <v>1</v>
      </c>
      <c r="H358" s="9">
        <v>10094</v>
      </c>
      <c r="I358" t="s">
        <v>831</v>
      </c>
    </row>
    <row r="359" spans="1:9" x14ac:dyDescent="0.3">
      <c r="A359">
        <v>2014</v>
      </c>
      <c r="B359" t="s">
        <v>8</v>
      </c>
      <c r="C359">
        <v>71700</v>
      </c>
      <c r="D359" t="s">
        <v>14</v>
      </c>
      <c r="E359" t="s">
        <v>10</v>
      </c>
      <c r="F359" t="s">
        <v>13</v>
      </c>
      <c r="G359">
        <v>2</v>
      </c>
      <c r="H359" s="9">
        <v>10000</v>
      </c>
      <c r="I359" t="s">
        <v>829</v>
      </c>
    </row>
    <row r="360" spans="1:9" x14ac:dyDescent="0.3">
      <c r="A360">
        <v>2015</v>
      </c>
      <c r="B360" t="s">
        <v>8</v>
      </c>
      <c r="C360">
        <v>63107</v>
      </c>
      <c r="D360" t="s">
        <v>14</v>
      </c>
      <c r="E360" t="s">
        <v>10</v>
      </c>
      <c r="F360" t="s">
        <v>13</v>
      </c>
      <c r="G360">
        <v>2</v>
      </c>
      <c r="H360" s="9">
        <v>10000</v>
      </c>
      <c r="I360" t="s">
        <v>828</v>
      </c>
    </row>
    <row r="361" spans="1:9" x14ac:dyDescent="0.3">
      <c r="A361">
        <v>2016</v>
      </c>
      <c r="B361" t="s">
        <v>8</v>
      </c>
      <c r="C361">
        <v>61500</v>
      </c>
      <c r="D361" t="s">
        <v>12</v>
      </c>
      <c r="E361" t="s">
        <v>10</v>
      </c>
      <c r="F361" t="s">
        <v>13</v>
      </c>
      <c r="G361">
        <v>2</v>
      </c>
      <c r="H361" s="9">
        <v>10000</v>
      </c>
      <c r="I361" t="s">
        <v>829</v>
      </c>
    </row>
    <row r="362" spans="1:9" x14ac:dyDescent="0.3">
      <c r="A362">
        <v>2015</v>
      </c>
      <c r="B362" t="s">
        <v>8</v>
      </c>
      <c r="C362">
        <v>56644</v>
      </c>
      <c r="D362" t="s">
        <v>12</v>
      </c>
      <c r="E362" t="s">
        <v>10</v>
      </c>
      <c r="F362" t="s">
        <v>13</v>
      </c>
      <c r="G362">
        <v>2</v>
      </c>
      <c r="H362" s="9">
        <v>9999</v>
      </c>
      <c r="I362" t="s">
        <v>829</v>
      </c>
    </row>
    <row r="363" spans="1:9" x14ac:dyDescent="0.3">
      <c r="A363">
        <v>2015</v>
      </c>
      <c r="B363" t="s">
        <v>8</v>
      </c>
      <c r="C363">
        <v>59651</v>
      </c>
      <c r="D363" t="s">
        <v>14</v>
      </c>
      <c r="E363" t="s">
        <v>10</v>
      </c>
      <c r="F363" t="s">
        <v>13</v>
      </c>
      <c r="G363">
        <v>2</v>
      </c>
      <c r="H363" s="9">
        <v>9995</v>
      </c>
      <c r="I363" t="s">
        <v>830</v>
      </c>
    </row>
    <row r="364" spans="1:9" x14ac:dyDescent="0.3">
      <c r="A364">
        <v>2016</v>
      </c>
      <c r="B364" t="s">
        <v>8</v>
      </c>
      <c r="C364">
        <v>41000</v>
      </c>
      <c r="D364" t="s">
        <v>14</v>
      </c>
      <c r="E364" t="s">
        <v>10</v>
      </c>
      <c r="F364" t="s">
        <v>13</v>
      </c>
      <c r="G364">
        <v>3</v>
      </c>
      <c r="H364" s="9">
        <v>9995</v>
      </c>
      <c r="I364" t="s">
        <v>831</v>
      </c>
    </row>
    <row r="365" spans="1:9" x14ac:dyDescent="0.3">
      <c r="A365">
        <v>2015</v>
      </c>
      <c r="B365" t="s">
        <v>8</v>
      </c>
      <c r="C365">
        <v>55626</v>
      </c>
      <c r="D365" t="s">
        <v>14</v>
      </c>
      <c r="E365" t="s">
        <v>10</v>
      </c>
      <c r="F365" t="s">
        <v>13</v>
      </c>
      <c r="G365">
        <v>2</v>
      </c>
      <c r="H365" s="9">
        <v>9995</v>
      </c>
      <c r="I365" t="s">
        <v>830</v>
      </c>
    </row>
    <row r="366" spans="1:9" x14ac:dyDescent="0.3">
      <c r="A366">
        <v>2015</v>
      </c>
      <c r="B366" t="s">
        <v>8</v>
      </c>
      <c r="C366">
        <v>56642</v>
      </c>
      <c r="D366" t="s">
        <v>14</v>
      </c>
      <c r="E366" t="s">
        <v>10</v>
      </c>
      <c r="F366" t="s">
        <v>13</v>
      </c>
      <c r="G366">
        <v>3</v>
      </c>
      <c r="H366" s="9">
        <v>9995</v>
      </c>
      <c r="I366" t="s">
        <v>829</v>
      </c>
    </row>
    <row r="367" spans="1:9" x14ac:dyDescent="0.3">
      <c r="A367">
        <v>2015</v>
      </c>
      <c r="B367" t="s">
        <v>8</v>
      </c>
      <c r="C367">
        <v>55191</v>
      </c>
      <c r="D367" t="s">
        <v>14</v>
      </c>
      <c r="E367" t="s">
        <v>10</v>
      </c>
      <c r="F367" t="s">
        <v>13</v>
      </c>
      <c r="G367">
        <v>2</v>
      </c>
      <c r="H367" s="9">
        <v>9991</v>
      </c>
      <c r="I367" t="s">
        <v>830</v>
      </c>
    </row>
    <row r="368" spans="1:9" x14ac:dyDescent="0.3">
      <c r="A368">
        <v>2015</v>
      </c>
      <c r="B368" t="s">
        <v>8</v>
      </c>
      <c r="C368">
        <v>70000</v>
      </c>
      <c r="D368" t="s">
        <v>14</v>
      </c>
      <c r="E368" t="s">
        <v>10</v>
      </c>
      <c r="F368" t="s">
        <v>13</v>
      </c>
      <c r="G368">
        <v>2</v>
      </c>
      <c r="H368" s="9">
        <v>9990</v>
      </c>
      <c r="I368" t="s">
        <v>828</v>
      </c>
    </row>
    <row r="369" spans="1:9" x14ac:dyDescent="0.3">
      <c r="A369">
        <v>2014</v>
      </c>
      <c r="B369" t="s">
        <v>8</v>
      </c>
      <c r="C369">
        <v>59000</v>
      </c>
      <c r="D369" t="s">
        <v>14</v>
      </c>
      <c r="E369" t="s">
        <v>10</v>
      </c>
      <c r="F369" t="s">
        <v>13</v>
      </c>
      <c r="G369">
        <v>2</v>
      </c>
      <c r="H369" s="9">
        <v>9990</v>
      </c>
      <c r="I369" t="s">
        <v>830</v>
      </c>
    </row>
    <row r="370" spans="1:9" x14ac:dyDescent="0.3">
      <c r="A370">
        <v>2016</v>
      </c>
      <c r="B370" t="s">
        <v>8</v>
      </c>
      <c r="C370">
        <v>66000</v>
      </c>
      <c r="D370" t="s">
        <v>9</v>
      </c>
      <c r="E370" t="s">
        <v>10</v>
      </c>
      <c r="F370" t="s">
        <v>11</v>
      </c>
      <c r="G370">
        <v>2</v>
      </c>
      <c r="H370" s="9">
        <v>9990</v>
      </c>
      <c r="I370" t="s">
        <v>828</v>
      </c>
    </row>
    <row r="371" spans="1:9" x14ac:dyDescent="0.3">
      <c r="A371">
        <v>2015</v>
      </c>
      <c r="B371" t="s">
        <v>8</v>
      </c>
      <c r="C371">
        <v>55280</v>
      </c>
      <c r="D371" t="s">
        <v>14</v>
      </c>
      <c r="E371" t="s">
        <v>10</v>
      </c>
      <c r="F371" t="s">
        <v>13</v>
      </c>
      <c r="G371">
        <v>2</v>
      </c>
      <c r="H371" s="9">
        <v>9990</v>
      </c>
      <c r="I371" t="s">
        <v>828</v>
      </c>
    </row>
    <row r="372" spans="1:9" x14ac:dyDescent="0.3">
      <c r="A372">
        <v>2016</v>
      </c>
      <c r="B372" t="s">
        <v>8</v>
      </c>
      <c r="C372">
        <v>47000</v>
      </c>
      <c r="D372" t="s">
        <v>12</v>
      </c>
      <c r="E372" t="s">
        <v>10</v>
      </c>
      <c r="F372" t="s">
        <v>13</v>
      </c>
      <c r="G372">
        <v>2</v>
      </c>
      <c r="H372" s="9">
        <v>9990</v>
      </c>
      <c r="I372" t="s">
        <v>829</v>
      </c>
    </row>
    <row r="373" spans="1:9" x14ac:dyDescent="0.3">
      <c r="A373">
        <v>2015</v>
      </c>
      <c r="B373" t="s">
        <v>8</v>
      </c>
      <c r="C373">
        <v>72417</v>
      </c>
      <c r="D373" t="s">
        <v>9</v>
      </c>
      <c r="E373" t="s">
        <v>10</v>
      </c>
      <c r="F373" t="s">
        <v>11</v>
      </c>
      <c r="G373">
        <v>1</v>
      </c>
      <c r="H373" s="9">
        <v>9978</v>
      </c>
      <c r="I373" t="s">
        <v>831</v>
      </c>
    </row>
    <row r="374" spans="1:9" x14ac:dyDescent="0.3">
      <c r="A374">
        <v>2017</v>
      </c>
      <c r="B374" t="s">
        <v>8</v>
      </c>
      <c r="C374">
        <v>72291</v>
      </c>
      <c r="D374" t="s">
        <v>14</v>
      </c>
      <c r="E374" t="s">
        <v>10</v>
      </c>
      <c r="F374" t="s">
        <v>13</v>
      </c>
      <c r="G374">
        <v>3</v>
      </c>
      <c r="H374" s="9">
        <v>9975</v>
      </c>
      <c r="I374" t="s">
        <v>830</v>
      </c>
    </row>
    <row r="375" spans="1:9" x14ac:dyDescent="0.3">
      <c r="A375">
        <v>2014</v>
      </c>
      <c r="B375" t="s">
        <v>8</v>
      </c>
      <c r="C375">
        <v>53182</v>
      </c>
      <c r="D375" t="s">
        <v>14</v>
      </c>
      <c r="E375" t="s">
        <v>10</v>
      </c>
      <c r="F375" t="s">
        <v>13</v>
      </c>
      <c r="G375">
        <v>1</v>
      </c>
      <c r="H375" s="9">
        <v>9950</v>
      </c>
      <c r="I375" t="s">
        <v>830</v>
      </c>
    </row>
    <row r="376" spans="1:9" x14ac:dyDescent="0.3">
      <c r="A376">
        <v>2017</v>
      </c>
      <c r="B376" t="s">
        <v>8</v>
      </c>
      <c r="C376">
        <v>57330</v>
      </c>
      <c r="D376" t="s">
        <v>12</v>
      </c>
      <c r="E376" t="s">
        <v>10</v>
      </c>
      <c r="F376" t="s">
        <v>13</v>
      </c>
      <c r="G376">
        <v>1</v>
      </c>
      <c r="H376" s="9">
        <v>9900</v>
      </c>
      <c r="I376" t="s">
        <v>830</v>
      </c>
    </row>
    <row r="377" spans="1:9" x14ac:dyDescent="0.3">
      <c r="A377">
        <v>2016</v>
      </c>
      <c r="B377" t="s">
        <v>8</v>
      </c>
      <c r="C377">
        <v>55993</v>
      </c>
      <c r="D377" t="s">
        <v>9</v>
      </c>
      <c r="E377" t="s">
        <v>10</v>
      </c>
      <c r="F377" t="s">
        <v>11</v>
      </c>
      <c r="G377">
        <v>2</v>
      </c>
      <c r="H377" s="9">
        <v>9850</v>
      </c>
      <c r="I377" t="s">
        <v>829</v>
      </c>
    </row>
    <row r="378" spans="1:9" x14ac:dyDescent="0.3">
      <c r="A378">
        <v>2017</v>
      </c>
      <c r="B378" t="s">
        <v>8</v>
      </c>
      <c r="C378">
        <v>74358</v>
      </c>
      <c r="D378" t="s">
        <v>9</v>
      </c>
      <c r="E378" t="s">
        <v>10</v>
      </c>
      <c r="F378" t="s">
        <v>11</v>
      </c>
      <c r="G378">
        <v>2</v>
      </c>
      <c r="H378" s="9">
        <v>9799</v>
      </c>
      <c r="I378" t="s">
        <v>829</v>
      </c>
    </row>
    <row r="379" spans="1:9" x14ac:dyDescent="0.3">
      <c r="A379">
        <v>2014</v>
      </c>
      <c r="B379" t="s">
        <v>8</v>
      </c>
      <c r="C379">
        <v>59747</v>
      </c>
      <c r="D379" t="s">
        <v>9</v>
      </c>
      <c r="E379" t="s">
        <v>10</v>
      </c>
      <c r="F379" t="s">
        <v>11</v>
      </c>
      <c r="G379">
        <v>4</v>
      </c>
      <c r="H379" s="9">
        <v>9750</v>
      </c>
      <c r="I379" t="s">
        <v>828</v>
      </c>
    </row>
    <row r="380" spans="1:9" x14ac:dyDescent="0.3">
      <c r="A380">
        <v>2015</v>
      </c>
      <c r="B380" t="s">
        <v>8</v>
      </c>
      <c r="C380">
        <v>62000</v>
      </c>
      <c r="D380" t="s">
        <v>12</v>
      </c>
      <c r="E380" t="s">
        <v>10</v>
      </c>
      <c r="F380" t="s">
        <v>13</v>
      </c>
      <c r="G380">
        <v>4</v>
      </c>
      <c r="H380" s="9">
        <v>9699</v>
      </c>
      <c r="I380" t="s">
        <v>830</v>
      </c>
    </row>
    <row r="381" spans="1:9" x14ac:dyDescent="0.3">
      <c r="A381">
        <v>2015</v>
      </c>
      <c r="B381" t="s">
        <v>8</v>
      </c>
      <c r="C381">
        <v>64800</v>
      </c>
      <c r="D381" t="s">
        <v>12</v>
      </c>
      <c r="E381" t="s">
        <v>10</v>
      </c>
      <c r="F381" t="s">
        <v>13</v>
      </c>
      <c r="G381">
        <v>2</v>
      </c>
      <c r="H381" s="9">
        <v>9690</v>
      </c>
      <c r="I381" t="s">
        <v>831</v>
      </c>
    </row>
    <row r="382" spans="1:9" x14ac:dyDescent="0.3">
      <c r="A382">
        <v>2015</v>
      </c>
      <c r="B382" t="s">
        <v>8</v>
      </c>
      <c r="C382">
        <v>38464</v>
      </c>
      <c r="D382" t="s">
        <v>9</v>
      </c>
      <c r="E382" t="s">
        <v>10</v>
      </c>
      <c r="F382" t="s">
        <v>11</v>
      </c>
      <c r="G382">
        <v>2</v>
      </c>
      <c r="H382" s="9">
        <v>9660</v>
      </c>
      <c r="I382" t="s">
        <v>829</v>
      </c>
    </row>
    <row r="383" spans="1:9" x14ac:dyDescent="0.3">
      <c r="A383">
        <v>2015</v>
      </c>
      <c r="B383" t="s">
        <v>8</v>
      </c>
      <c r="C383">
        <v>61161</v>
      </c>
      <c r="D383" t="s">
        <v>9</v>
      </c>
      <c r="E383" t="s">
        <v>10</v>
      </c>
      <c r="F383" t="s">
        <v>11</v>
      </c>
      <c r="G383">
        <v>2</v>
      </c>
      <c r="H383" s="9">
        <v>9595</v>
      </c>
      <c r="I383" t="s">
        <v>828</v>
      </c>
    </row>
    <row r="384" spans="1:9" x14ac:dyDescent="0.3">
      <c r="A384">
        <v>2015</v>
      </c>
      <c r="B384" t="s">
        <v>8</v>
      </c>
      <c r="C384">
        <v>63076</v>
      </c>
      <c r="D384" t="s">
        <v>12</v>
      </c>
      <c r="E384" t="s">
        <v>10</v>
      </c>
      <c r="F384" t="s">
        <v>13</v>
      </c>
      <c r="G384">
        <v>2</v>
      </c>
      <c r="H384" s="9">
        <v>9590</v>
      </c>
      <c r="I384" t="s">
        <v>829</v>
      </c>
    </row>
    <row r="385" spans="1:9" x14ac:dyDescent="0.3">
      <c r="A385">
        <v>2015</v>
      </c>
      <c r="B385" t="s">
        <v>8</v>
      </c>
      <c r="C385">
        <v>54000</v>
      </c>
      <c r="D385" t="s">
        <v>14</v>
      </c>
      <c r="E385" t="s">
        <v>10</v>
      </c>
      <c r="F385" t="s">
        <v>13</v>
      </c>
      <c r="G385">
        <v>3</v>
      </c>
      <c r="H385" s="9">
        <v>9499</v>
      </c>
      <c r="I385" t="s">
        <v>829</v>
      </c>
    </row>
    <row r="386" spans="1:9" x14ac:dyDescent="0.3">
      <c r="A386">
        <v>2017</v>
      </c>
      <c r="B386" t="s">
        <v>8</v>
      </c>
      <c r="C386">
        <v>77069</v>
      </c>
      <c r="D386" t="s">
        <v>14</v>
      </c>
      <c r="E386" t="s">
        <v>10</v>
      </c>
      <c r="F386" t="s">
        <v>13</v>
      </c>
      <c r="G386">
        <v>2</v>
      </c>
      <c r="H386" s="9">
        <v>9495</v>
      </c>
      <c r="I386" t="s">
        <v>830</v>
      </c>
    </row>
    <row r="387" spans="1:9" x14ac:dyDescent="0.3">
      <c r="A387">
        <v>2015</v>
      </c>
      <c r="B387" t="s">
        <v>8</v>
      </c>
      <c r="C387">
        <v>71312</v>
      </c>
      <c r="D387" t="s">
        <v>12</v>
      </c>
      <c r="E387" t="s">
        <v>10</v>
      </c>
      <c r="F387" t="s">
        <v>13</v>
      </c>
      <c r="G387">
        <v>2</v>
      </c>
      <c r="H387" s="9">
        <v>9495</v>
      </c>
      <c r="I387" t="s">
        <v>831</v>
      </c>
    </row>
    <row r="388" spans="1:9" x14ac:dyDescent="0.3">
      <c r="A388">
        <v>2016</v>
      </c>
      <c r="B388" t="s">
        <v>8</v>
      </c>
      <c r="C388">
        <v>62000</v>
      </c>
      <c r="D388" t="s">
        <v>14</v>
      </c>
      <c r="E388" t="s">
        <v>10</v>
      </c>
      <c r="F388" t="s">
        <v>13</v>
      </c>
      <c r="G388">
        <v>1</v>
      </c>
      <c r="H388" s="9">
        <v>9490</v>
      </c>
      <c r="I388" t="s">
        <v>830</v>
      </c>
    </row>
    <row r="389" spans="1:9" x14ac:dyDescent="0.3">
      <c r="A389">
        <v>2015</v>
      </c>
      <c r="B389" t="s">
        <v>8</v>
      </c>
      <c r="C389">
        <v>49000</v>
      </c>
      <c r="D389" t="s">
        <v>16</v>
      </c>
      <c r="E389" t="s">
        <v>10</v>
      </c>
      <c r="F389" t="s">
        <v>13</v>
      </c>
      <c r="G389">
        <v>2</v>
      </c>
      <c r="H389" s="9">
        <v>9490</v>
      </c>
      <c r="I389" t="s">
        <v>829</v>
      </c>
    </row>
    <row r="390" spans="1:9" x14ac:dyDescent="0.3">
      <c r="A390">
        <v>2014</v>
      </c>
      <c r="B390" t="s">
        <v>8</v>
      </c>
      <c r="C390">
        <v>69000</v>
      </c>
      <c r="D390" t="s">
        <v>14</v>
      </c>
      <c r="E390" t="s">
        <v>10</v>
      </c>
      <c r="F390" t="s">
        <v>13</v>
      </c>
      <c r="G390">
        <v>1</v>
      </c>
      <c r="H390" s="9">
        <v>9480</v>
      </c>
      <c r="I390" t="s">
        <v>830</v>
      </c>
    </row>
    <row r="391" spans="1:9" x14ac:dyDescent="0.3">
      <c r="A391">
        <v>2015</v>
      </c>
      <c r="B391" t="s">
        <v>8</v>
      </c>
      <c r="C391">
        <v>68000</v>
      </c>
      <c r="D391" t="s">
        <v>9</v>
      </c>
      <c r="E391" t="s">
        <v>10</v>
      </c>
      <c r="F391" t="s">
        <v>11</v>
      </c>
      <c r="G391">
        <v>2</v>
      </c>
      <c r="H391" s="9">
        <v>9450</v>
      </c>
      <c r="I391" t="s">
        <v>828</v>
      </c>
    </row>
    <row r="392" spans="1:9" x14ac:dyDescent="0.3">
      <c r="A392">
        <v>2014</v>
      </c>
      <c r="B392" t="s">
        <v>8</v>
      </c>
      <c r="C392">
        <v>90000</v>
      </c>
      <c r="D392" t="s">
        <v>9</v>
      </c>
      <c r="E392" t="s">
        <v>10</v>
      </c>
      <c r="F392" t="s">
        <v>11</v>
      </c>
      <c r="G392">
        <v>2</v>
      </c>
      <c r="H392" s="9">
        <v>9395</v>
      </c>
      <c r="I392" t="s">
        <v>830</v>
      </c>
    </row>
    <row r="393" spans="1:9" x14ac:dyDescent="0.3">
      <c r="A393">
        <v>2014</v>
      </c>
      <c r="B393" t="s">
        <v>8</v>
      </c>
      <c r="C393">
        <v>88375</v>
      </c>
      <c r="D393" t="s">
        <v>14</v>
      </c>
      <c r="E393" t="s">
        <v>10</v>
      </c>
      <c r="F393" t="s">
        <v>13</v>
      </c>
      <c r="G393">
        <v>2</v>
      </c>
      <c r="H393" s="9">
        <v>9395</v>
      </c>
      <c r="I393" t="s">
        <v>828</v>
      </c>
    </row>
    <row r="394" spans="1:9" x14ac:dyDescent="0.3">
      <c r="A394">
        <v>2015</v>
      </c>
      <c r="B394" t="s">
        <v>8</v>
      </c>
      <c r="C394">
        <v>69541</v>
      </c>
      <c r="D394" t="s">
        <v>14</v>
      </c>
      <c r="E394" t="s">
        <v>10</v>
      </c>
      <c r="F394" t="s">
        <v>13</v>
      </c>
      <c r="G394">
        <v>2</v>
      </c>
      <c r="H394" s="9">
        <v>9375</v>
      </c>
      <c r="I394" t="s">
        <v>828</v>
      </c>
    </row>
    <row r="395" spans="1:9" x14ac:dyDescent="0.3">
      <c r="A395">
        <v>2014</v>
      </c>
      <c r="B395" t="s">
        <v>8</v>
      </c>
      <c r="C395">
        <v>72653</v>
      </c>
      <c r="D395" t="s">
        <v>9</v>
      </c>
      <c r="E395" t="s">
        <v>10</v>
      </c>
      <c r="F395" t="s">
        <v>11</v>
      </c>
      <c r="G395">
        <v>3</v>
      </c>
      <c r="H395" s="9">
        <v>9350</v>
      </c>
      <c r="I395" t="s">
        <v>829</v>
      </c>
    </row>
    <row r="396" spans="1:9" x14ac:dyDescent="0.3">
      <c r="A396">
        <v>2015</v>
      </c>
      <c r="B396" t="s">
        <v>8</v>
      </c>
      <c r="C396">
        <v>69362</v>
      </c>
      <c r="D396" t="s">
        <v>12</v>
      </c>
      <c r="E396" t="s">
        <v>10</v>
      </c>
      <c r="F396" t="s">
        <v>13</v>
      </c>
      <c r="G396">
        <v>2</v>
      </c>
      <c r="H396" s="9">
        <v>9300</v>
      </c>
      <c r="I396" t="s">
        <v>831</v>
      </c>
    </row>
    <row r="397" spans="1:9" x14ac:dyDescent="0.3">
      <c r="A397">
        <v>2017</v>
      </c>
      <c r="B397" t="s">
        <v>8</v>
      </c>
      <c r="C397">
        <v>67822</v>
      </c>
      <c r="D397" t="s">
        <v>14</v>
      </c>
      <c r="E397" t="s">
        <v>10</v>
      </c>
      <c r="F397" t="s">
        <v>13</v>
      </c>
      <c r="G397">
        <v>1</v>
      </c>
      <c r="H397" s="9">
        <v>9300</v>
      </c>
      <c r="I397" t="s">
        <v>830</v>
      </c>
    </row>
    <row r="398" spans="1:9" x14ac:dyDescent="0.3">
      <c r="A398">
        <v>2015</v>
      </c>
      <c r="B398" t="s">
        <v>8</v>
      </c>
      <c r="C398">
        <v>51493</v>
      </c>
      <c r="D398" t="s">
        <v>14</v>
      </c>
      <c r="E398" t="s">
        <v>10</v>
      </c>
      <c r="F398" t="s">
        <v>13</v>
      </c>
      <c r="G398">
        <v>2</v>
      </c>
      <c r="H398" s="9">
        <v>9299</v>
      </c>
      <c r="I398" t="s">
        <v>830</v>
      </c>
    </row>
    <row r="399" spans="1:9" x14ac:dyDescent="0.3">
      <c r="A399">
        <v>2017</v>
      </c>
      <c r="B399" t="s">
        <v>8</v>
      </c>
      <c r="C399">
        <v>74820</v>
      </c>
      <c r="D399" t="s">
        <v>14</v>
      </c>
      <c r="E399" t="s">
        <v>10</v>
      </c>
      <c r="F399" t="s">
        <v>13</v>
      </c>
      <c r="G399">
        <v>1</v>
      </c>
      <c r="H399" s="9">
        <v>9250</v>
      </c>
      <c r="I399" t="s">
        <v>830</v>
      </c>
    </row>
    <row r="400" spans="1:9" x14ac:dyDescent="0.3">
      <c r="A400">
        <v>2015</v>
      </c>
      <c r="B400" t="s">
        <v>8</v>
      </c>
      <c r="C400">
        <v>96000</v>
      </c>
      <c r="D400" t="s">
        <v>9</v>
      </c>
      <c r="E400" t="s">
        <v>10</v>
      </c>
      <c r="F400" t="s">
        <v>11</v>
      </c>
      <c r="G400">
        <v>1</v>
      </c>
      <c r="H400" s="9">
        <v>9250</v>
      </c>
      <c r="I400" t="s">
        <v>829</v>
      </c>
    </row>
    <row r="401" spans="1:9" x14ac:dyDescent="0.3">
      <c r="A401">
        <v>2014</v>
      </c>
      <c r="B401" t="s">
        <v>8</v>
      </c>
      <c r="C401">
        <v>49468</v>
      </c>
      <c r="D401" t="s">
        <v>14</v>
      </c>
      <c r="E401" t="s">
        <v>10</v>
      </c>
      <c r="F401" t="s">
        <v>13</v>
      </c>
      <c r="G401">
        <v>2</v>
      </c>
      <c r="H401" s="9">
        <v>9050</v>
      </c>
      <c r="I401" t="s">
        <v>829</v>
      </c>
    </row>
    <row r="402" spans="1:9" x14ac:dyDescent="0.3">
      <c r="A402">
        <v>2014</v>
      </c>
      <c r="B402" t="s">
        <v>8</v>
      </c>
      <c r="C402">
        <v>72089</v>
      </c>
      <c r="D402" t="s">
        <v>9</v>
      </c>
      <c r="E402" t="s">
        <v>10</v>
      </c>
      <c r="F402" t="s">
        <v>11</v>
      </c>
      <c r="G402">
        <v>2</v>
      </c>
      <c r="H402" s="9">
        <v>9000</v>
      </c>
      <c r="I402" t="s">
        <v>828</v>
      </c>
    </row>
    <row r="403" spans="1:9" x14ac:dyDescent="0.3">
      <c r="A403">
        <v>2016</v>
      </c>
      <c r="B403" t="s">
        <v>8</v>
      </c>
      <c r="C403">
        <v>87600</v>
      </c>
      <c r="D403" t="s">
        <v>14</v>
      </c>
      <c r="E403" t="s">
        <v>10</v>
      </c>
      <c r="F403" t="s">
        <v>13</v>
      </c>
      <c r="G403">
        <v>1</v>
      </c>
      <c r="H403" s="9">
        <v>9000</v>
      </c>
      <c r="I403" t="s">
        <v>830</v>
      </c>
    </row>
    <row r="404" spans="1:9" x14ac:dyDescent="0.3">
      <c r="A404">
        <v>2016</v>
      </c>
      <c r="B404" t="s">
        <v>8</v>
      </c>
      <c r="C404">
        <v>78890</v>
      </c>
      <c r="D404" t="s">
        <v>12</v>
      </c>
      <c r="E404" t="s">
        <v>10</v>
      </c>
      <c r="F404" t="s">
        <v>13</v>
      </c>
      <c r="G404">
        <v>2</v>
      </c>
      <c r="H404" s="9">
        <v>8995</v>
      </c>
      <c r="I404" t="s">
        <v>831</v>
      </c>
    </row>
    <row r="405" spans="1:9" x14ac:dyDescent="0.3">
      <c r="A405">
        <v>2015</v>
      </c>
      <c r="B405" t="s">
        <v>8</v>
      </c>
      <c r="C405">
        <v>69000</v>
      </c>
      <c r="D405" t="s">
        <v>9</v>
      </c>
      <c r="E405" t="s">
        <v>10</v>
      </c>
      <c r="F405" t="s">
        <v>11</v>
      </c>
      <c r="G405">
        <v>2</v>
      </c>
      <c r="H405" s="9">
        <v>8995</v>
      </c>
      <c r="I405" t="s">
        <v>829</v>
      </c>
    </row>
    <row r="406" spans="1:9" x14ac:dyDescent="0.3">
      <c r="A406">
        <v>2015</v>
      </c>
      <c r="B406" t="s">
        <v>8</v>
      </c>
      <c r="C406">
        <v>98500</v>
      </c>
      <c r="D406" t="s">
        <v>12</v>
      </c>
      <c r="E406" t="s">
        <v>15</v>
      </c>
      <c r="F406" t="s">
        <v>13</v>
      </c>
      <c r="G406">
        <v>1</v>
      </c>
      <c r="H406" s="9">
        <v>8994</v>
      </c>
      <c r="I406" t="s">
        <v>828</v>
      </c>
    </row>
    <row r="407" spans="1:9" x14ac:dyDescent="0.3">
      <c r="A407">
        <v>2016</v>
      </c>
      <c r="B407" t="s">
        <v>8</v>
      </c>
      <c r="C407">
        <v>65000</v>
      </c>
      <c r="D407" t="s">
        <v>12</v>
      </c>
      <c r="E407" t="s">
        <v>10</v>
      </c>
      <c r="F407" t="s">
        <v>13</v>
      </c>
      <c r="G407">
        <v>2</v>
      </c>
      <c r="H407" s="9">
        <v>8990</v>
      </c>
      <c r="I407" t="s">
        <v>829</v>
      </c>
    </row>
    <row r="408" spans="1:9" x14ac:dyDescent="0.3">
      <c r="A408">
        <v>2016</v>
      </c>
      <c r="B408" t="s">
        <v>8</v>
      </c>
      <c r="C408">
        <v>72900</v>
      </c>
      <c r="D408" t="s">
        <v>9</v>
      </c>
      <c r="E408" t="s">
        <v>10</v>
      </c>
      <c r="F408" t="s">
        <v>11</v>
      </c>
      <c r="G408">
        <v>2</v>
      </c>
      <c r="H408" s="9">
        <v>8980</v>
      </c>
      <c r="I408" t="s">
        <v>829</v>
      </c>
    </row>
    <row r="409" spans="1:9" x14ac:dyDescent="0.3">
      <c r="A409">
        <v>2015</v>
      </c>
      <c r="B409" t="s">
        <v>8</v>
      </c>
      <c r="C409">
        <v>99987</v>
      </c>
      <c r="D409" t="s">
        <v>9</v>
      </c>
      <c r="E409" t="s">
        <v>10</v>
      </c>
      <c r="F409" t="s">
        <v>11</v>
      </c>
      <c r="G409">
        <v>2</v>
      </c>
      <c r="H409" s="9">
        <v>8950</v>
      </c>
      <c r="I409" t="s">
        <v>830</v>
      </c>
    </row>
    <row r="410" spans="1:9" x14ac:dyDescent="0.3">
      <c r="A410">
        <v>2016</v>
      </c>
      <c r="B410" t="s">
        <v>8</v>
      </c>
      <c r="C410">
        <v>96000</v>
      </c>
      <c r="D410" t="s">
        <v>14</v>
      </c>
      <c r="E410" t="s">
        <v>10</v>
      </c>
      <c r="F410" t="s">
        <v>13</v>
      </c>
      <c r="G410">
        <v>3</v>
      </c>
      <c r="H410" s="9">
        <v>8895</v>
      </c>
      <c r="I410" t="s">
        <v>831</v>
      </c>
    </row>
    <row r="411" spans="1:9" x14ac:dyDescent="0.3">
      <c r="A411">
        <v>2015</v>
      </c>
      <c r="B411" t="s">
        <v>8</v>
      </c>
      <c r="C411">
        <v>72475</v>
      </c>
      <c r="D411" t="s">
        <v>9</v>
      </c>
      <c r="E411" t="s">
        <v>10</v>
      </c>
      <c r="F411" t="s">
        <v>11</v>
      </c>
      <c r="G411">
        <v>2</v>
      </c>
      <c r="H411" s="9">
        <v>8895</v>
      </c>
      <c r="I411" t="s">
        <v>830</v>
      </c>
    </row>
    <row r="412" spans="1:9" x14ac:dyDescent="0.3">
      <c r="A412">
        <v>2015</v>
      </c>
      <c r="B412" t="s">
        <v>8</v>
      </c>
      <c r="C412">
        <v>47540</v>
      </c>
      <c r="D412" t="s">
        <v>9</v>
      </c>
      <c r="E412" t="s">
        <v>10</v>
      </c>
      <c r="F412" t="s">
        <v>11</v>
      </c>
      <c r="G412">
        <v>2</v>
      </c>
      <c r="H412" s="9">
        <v>8850</v>
      </c>
      <c r="I412" t="s">
        <v>829</v>
      </c>
    </row>
    <row r="413" spans="1:9" x14ac:dyDescent="0.3">
      <c r="A413">
        <v>2015</v>
      </c>
      <c r="B413" t="s">
        <v>8</v>
      </c>
      <c r="C413">
        <v>73000</v>
      </c>
      <c r="D413" t="s">
        <v>14</v>
      </c>
      <c r="E413" t="s">
        <v>10</v>
      </c>
      <c r="F413" t="s">
        <v>13</v>
      </c>
      <c r="G413">
        <v>3</v>
      </c>
      <c r="H413" s="9">
        <v>8850</v>
      </c>
      <c r="I413" t="s">
        <v>830</v>
      </c>
    </row>
    <row r="414" spans="1:9" x14ac:dyDescent="0.3">
      <c r="A414">
        <v>2014</v>
      </c>
      <c r="B414" t="s">
        <v>8</v>
      </c>
      <c r="C414">
        <v>39833</v>
      </c>
      <c r="D414" t="s">
        <v>9</v>
      </c>
      <c r="E414" t="s">
        <v>10</v>
      </c>
      <c r="F414" t="s">
        <v>11</v>
      </c>
      <c r="G414">
        <v>3</v>
      </c>
      <c r="H414" s="9">
        <v>8790</v>
      </c>
      <c r="I414" t="s">
        <v>828</v>
      </c>
    </row>
    <row r="415" spans="1:9" x14ac:dyDescent="0.3">
      <c r="A415">
        <v>2015</v>
      </c>
      <c r="B415" t="s">
        <v>8</v>
      </c>
      <c r="C415">
        <v>63935</v>
      </c>
      <c r="D415" t="s">
        <v>12</v>
      </c>
      <c r="E415" t="s">
        <v>10</v>
      </c>
      <c r="F415" t="s">
        <v>13</v>
      </c>
      <c r="G415">
        <v>2</v>
      </c>
      <c r="H415" s="9">
        <v>8750</v>
      </c>
      <c r="I415" t="s">
        <v>830</v>
      </c>
    </row>
    <row r="416" spans="1:9" x14ac:dyDescent="0.3">
      <c r="A416">
        <v>2015</v>
      </c>
      <c r="B416" t="s">
        <v>8</v>
      </c>
      <c r="C416">
        <v>71000</v>
      </c>
      <c r="D416" t="s">
        <v>18</v>
      </c>
      <c r="E416" t="s">
        <v>10</v>
      </c>
      <c r="F416" t="s">
        <v>11</v>
      </c>
      <c r="G416">
        <v>3</v>
      </c>
      <c r="H416" s="9">
        <v>8700</v>
      </c>
      <c r="I416" t="s">
        <v>828</v>
      </c>
    </row>
    <row r="417" spans="1:9" x14ac:dyDescent="0.3">
      <c r="A417">
        <v>2015</v>
      </c>
      <c r="B417" t="s">
        <v>8</v>
      </c>
      <c r="C417">
        <v>71845</v>
      </c>
      <c r="D417" t="s">
        <v>14</v>
      </c>
      <c r="E417" t="s">
        <v>10</v>
      </c>
      <c r="F417" t="s">
        <v>13</v>
      </c>
      <c r="G417">
        <v>2</v>
      </c>
      <c r="H417" s="9">
        <v>8695</v>
      </c>
      <c r="I417" t="s">
        <v>828</v>
      </c>
    </row>
    <row r="418" spans="1:9" x14ac:dyDescent="0.3">
      <c r="A418">
        <v>2014</v>
      </c>
      <c r="B418" t="s">
        <v>8</v>
      </c>
      <c r="C418">
        <v>79000</v>
      </c>
      <c r="D418" t="s">
        <v>9</v>
      </c>
      <c r="E418" t="s">
        <v>10</v>
      </c>
      <c r="F418" t="s">
        <v>11</v>
      </c>
      <c r="G418">
        <v>3</v>
      </c>
      <c r="H418" s="9">
        <v>8695</v>
      </c>
      <c r="I418" t="s">
        <v>829</v>
      </c>
    </row>
    <row r="419" spans="1:9" x14ac:dyDescent="0.3">
      <c r="A419">
        <v>2016</v>
      </c>
      <c r="B419" t="s">
        <v>8</v>
      </c>
      <c r="C419">
        <v>76000</v>
      </c>
      <c r="D419" t="s">
        <v>9</v>
      </c>
      <c r="E419" t="s">
        <v>10</v>
      </c>
      <c r="F419" t="s">
        <v>11</v>
      </c>
      <c r="G419">
        <v>1</v>
      </c>
      <c r="H419" s="9">
        <v>8690</v>
      </c>
      <c r="I419" t="s">
        <v>831</v>
      </c>
    </row>
    <row r="420" spans="1:9" x14ac:dyDescent="0.3">
      <c r="A420">
        <v>2015</v>
      </c>
      <c r="B420" t="s">
        <v>8</v>
      </c>
      <c r="C420">
        <v>80000</v>
      </c>
      <c r="D420" t="s">
        <v>9</v>
      </c>
      <c r="E420" t="s">
        <v>10</v>
      </c>
      <c r="F420" t="s">
        <v>11</v>
      </c>
      <c r="G420">
        <v>2</v>
      </c>
      <c r="H420" s="9">
        <v>8600</v>
      </c>
      <c r="I420" t="s">
        <v>830</v>
      </c>
    </row>
    <row r="421" spans="1:9" x14ac:dyDescent="0.3">
      <c r="A421">
        <v>2014</v>
      </c>
      <c r="B421" t="s">
        <v>8</v>
      </c>
      <c r="C421">
        <v>64207</v>
      </c>
      <c r="D421" t="s">
        <v>9</v>
      </c>
      <c r="E421" t="s">
        <v>10</v>
      </c>
      <c r="F421" t="s">
        <v>11</v>
      </c>
      <c r="G421">
        <v>1</v>
      </c>
      <c r="H421" s="9">
        <v>8595</v>
      </c>
      <c r="I421" t="s">
        <v>830</v>
      </c>
    </row>
    <row r="422" spans="1:9" x14ac:dyDescent="0.3">
      <c r="A422">
        <v>2014</v>
      </c>
      <c r="B422" t="s">
        <v>8</v>
      </c>
      <c r="C422">
        <v>74000</v>
      </c>
      <c r="D422" t="s">
        <v>14</v>
      </c>
      <c r="E422" t="s">
        <v>10</v>
      </c>
      <c r="F422" t="s">
        <v>13</v>
      </c>
      <c r="G422">
        <v>2</v>
      </c>
      <c r="H422" s="9">
        <v>8500</v>
      </c>
      <c r="I422" t="s">
        <v>830</v>
      </c>
    </row>
    <row r="423" spans="1:9" x14ac:dyDescent="0.3">
      <c r="A423">
        <v>2015</v>
      </c>
      <c r="B423" t="s">
        <v>8</v>
      </c>
      <c r="C423">
        <v>64000</v>
      </c>
      <c r="D423" t="s">
        <v>14</v>
      </c>
      <c r="E423" t="s">
        <v>10</v>
      </c>
      <c r="F423" t="s">
        <v>13</v>
      </c>
      <c r="G423">
        <v>4</v>
      </c>
      <c r="H423" s="9">
        <v>8500</v>
      </c>
      <c r="I423" t="s">
        <v>829</v>
      </c>
    </row>
    <row r="424" spans="1:9" x14ac:dyDescent="0.3">
      <c r="A424">
        <v>2015</v>
      </c>
      <c r="B424" t="s">
        <v>8</v>
      </c>
      <c r="C424">
        <v>62000</v>
      </c>
      <c r="D424" t="s">
        <v>9</v>
      </c>
      <c r="E424" t="s">
        <v>10</v>
      </c>
      <c r="F424" t="s">
        <v>11</v>
      </c>
      <c r="G424">
        <v>4</v>
      </c>
      <c r="H424" s="9">
        <v>8499</v>
      </c>
      <c r="I424" t="s">
        <v>829</v>
      </c>
    </row>
    <row r="425" spans="1:9" x14ac:dyDescent="0.3">
      <c r="A425">
        <v>2014</v>
      </c>
      <c r="B425" t="s">
        <v>8</v>
      </c>
      <c r="C425">
        <v>55000</v>
      </c>
      <c r="D425" t="s">
        <v>14</v>
      </c>
      <c r="E425" t="s">
        <v>10</v>
      </c>
      <c r="F425" t="s">
        <v>13</v>
      </c>
      <c r="G425">
        <v>2</v>
      </c>
      <c r="H425" s="9">
        <v>8499</v>
      </c>
      <c r="I425" t="s">
        <v>828</v>
      </c>
    </row>
    <row r="426" spans="1:9" x14ac:dyDescent="0.3">
      <c r="A426">
        <v>2014</v>
      </c>
      <c r="B426" t="s">
        <v>8</v>
      </c>
      <c r="C426">
        <v>96182</v>
      </c>
      <c r="D426" t="s">
        <v>9</v>
      </c>
      <c r="E426" t="s">
        <v>10</v>
      </c>
      <c r="F426" t="s">
        <v>11</v>
      </c>
      <c r="G426">
        <v>1</v>
      </c>
      <c r="H426" s="9">
        <v>8495</v>
      </c>
      <c r="I426" t="s">
        <v>830</v>
      </c>
    </row>
    <row r="427" spans="1:9" x14ac:dyDescent="0.3">
      <c r="A427">
        <v>2015</v>
      </c>
      <c r="B427" t="s">
        <v>8</v>
      </c>
      <c r="C427">
        <v>95850</v>
      </c>
      <c r="D427" t="s">
        <v>14</v>
      </c>
      <c r="E427" t="s">
        <v>10</v>
      </c>
      <c r="F427" t="s">
        <v>13</v>
      </c>
      <c r="G427">
        <v>2</v>
      </c>
      <c r="H427" s="9">
        <v>8495</v>
      </c>
      <c r="I427" t="s">
        <v>831</v>
      </c>
    </row>
    <row r="428" spans="1:9" x14ac:dyDescent="0.3">
      <c r="A428">
        <v>2014</v>
      </c>
      <c r="B428" t="s">
        <v>8</v>
      </c>
      <c r="C428">
        <v>54086</v>
      </c>
      <c r="D428" t="s">
        <v>16</v>
      </c>
      <c r="E428" t="s">
        <v>10</v>
      </c>
      <c r="F428" t="s">
        <v>13</v>
      </c>
      <c r="G428">
        <v>1</v>
      </c>
      <c r="H428" s="9">
        <v>8450</v>
      </c>
      <c r="I428" t="s">
        <v>829</v>
      </c>
    </row>
    <row r="429" spans="1:9" x14ac:dyDescent="0.3">
      <c r="A429">
        <v>2014</v>
      </c>
      <c r="B429" t="s">
        <v>8</v>
      </c>
      <c r="C429">
        <v>52000</v>
      </c>
      <c r="D429" t="s">
        <v>14</v>
      </c>
      <c r="E429" t="s">
        <v>10</v>
      </c>
      <c r="F429" t="s">
        <v>13</v>
      </c>
      <c r="G429">
        <v>2</v>
      </c>
      <c r="H429" s="9">
        <v>8399</v>
      </c>
      <c r="I429" t="s">
        <v>828</v>
      </c>
    </row>
    <row r="430" spans="1:9" x14ac:dyDescent="0.3">
      <c r="A430">
        <v>2015</v>
      </c>
      <c r="B430" t="s">
        <v>8</v>
      </c>
      <c r="C430">
        <v>103238</v>
      </c>
      <c r="D430" t="s">
        <v>9</v>
      </c>
      <c r="E430" t="s">
        <v>10</v>
      </c>
      <c r="F430" t="s">
        <v>11</v>
      </c>
      <c r="G430">
        <v>1</v>
      </c>
      <c r="H430" s="9">
        <v>8300</v>
      </c>
      <c r="I430" t="s">
        <v>829</v>
      </c>
    </row>
    <row r="431" spans="1:9" x14ac:dyDescent="0.3">
      <c r="A431">
        <v>2014</v>
      </c>
      <c r="B431" t="s">
        <v>8</v>
      </c>
      <c r="C431">
        <v>67258</v>
      </c>
      <c r="D431" t="s">
        <v>18</v>
      </c>
      <c r="E431" t="s">
        <v>10</v>
      </c>
      <c r="F431" t="s">
        <v>11</v>
      </c>
      <c r="G431">
        <v>2</v>
      </c>
      <c r="H431" s="9">
        <v>8300</v>
      </c>
      <c r="I431" t="s">
        <v>829</v>
      </c>
    </row>
    <row r="432" spans="1:9" x14ac:dyDescent="0.3">
      <c r="A432">
        <v>2014</v>
      </c>
      <c r="B432" t="s">
        <v>8</v>
      </c>
      <c r="C432">
        <v>74000</v>
      </c>
      <c r="D432" t="s">
        <v>14</v>
      </c>
      <c r="E432" t="s">
        <v>10</v>
      </c>
      <c r="F432" t="s">
        <v>13</v>
      </c>
      <c r="G432">
        <v>2</v>
      </c>
      <c r="H432" s="9">
        <v>8300</v>
      </c>
      <c r="I432" t="s">
        <v>830</v>
      </c>
    </row>
    <row r="433" spans="1:9" x14ac:dyDescent="0.3">
      <c r="A433">
        <v>2014</v>
      </c>
      <c r="B433" t="s">
        <v>8</v>
      </c>
      <c r="C433">
        <v>52000</v>
      </c>
      <c r="D433" t="s">
        <v>14</v>
      </c>
      <c r="E433" t="s">
        <v>10</v>
      </c>
      <c r="F433" t="s">
        <v>13</v>
      </c>
      <c r="G433">
        <v>1</v>
      </c>
      <c r="H433" s="9">
        <v>8299</v>
      </c>
      <c r="I433" t="s">
        <v>831</v>
      </c>
    </row>
    <row r="434" spans="1:9" x14ac:dyDescent="0.3">
      <c r="A434">
        <v>2014</v>
      </c>
      <c r="B434" t="s">
        <v>8</v>
      </c>
      <c r="C434">
        <v>103104</v>
      </c>
      <c r="D434" t="s">
        <v>14</v>
      </c>
      <c r="E434" t="s">
        <v>15</v>
      </c>
      <c r="F434" t="s">
        <v>13</v>
      </c>
      <c r="G434">
        <v>1</v>
      </c>
      <c r="H434" s="9">
        <v>8250</v>
      </c>
      <c r="I434" t="s">
        <v>830</v>
      </c>
    </row>
    <row r="435" spans="1:9" x14ac:dyDescent="0.3">
      <c r="A435">
        <v>2015</v>
      </c>
      <c r="B435" t="s">
        <v>8</v>
      </c>
      <c r="C435">
        <v>81455</v>
      </c>
      <c r="D435" t="s">
        <v>14</v>
      </c>
      <c r="E435" t="s">
        <v>10</v>
      </c>
      <c r="F435" t="s">
        <v>13</v>
      </c>
      <c r="G435">
        <v>2</v>
      </c>
      <c r="H435" s="9">
        <v>8248</v>
      </c>
      <c r="I435" t="s">
        <v>829</v>
      </c>
    </row>
    <row r="436" spans="1:9" x14ac:dyDescent="0.3">
      <c r="A436">
        <v>2014</v>
      </c>
      <c r="B436" t="s">
        <v>8</v>
      </c>
      <c r="C436">
        <v>95795</v>
      </c>
      <c r="D436" t="s">
        <v>14</v>
      </c>
      <c r="E436" t="s">
        <v>10</v>
      </c>
      <c r="F436" t="s">
        <v>13</v>
      </c>
      <c r="G436">
        <v>3</v>
      </c>
      <c r="H436" s="9">
        <v>8195</v>
      </c>
      <c r="I436" t="s">
        <v>830</v>
      </c>
    </row>
    <row r="437" spans="1:9" x14ac:dyDescent="0.3">
      <c r="A437">
        <v>2014</v>
      </c>
      <c r="B437" t="s">
        <v>8</v>
      </c>
      <c r="C437">
        <v>90000</v>
      </c>
      <c r="D437" t="s">
        <v>14</v>
      </c>
      <c r="E437" t="s">
        <v>10</v>
      </c>
      <c r="F437" t="s">
        <v>13</v>
      </c>
      <c r="G437">
        <v>2</v>
      </c>
      <c r="H437" s="9">
        <v>7995</v>
      </c>
      <c r="I437" t="s">
        <v>828</v>
      </c>
    </row>
    <row r="438" spans="1:9" x14ac:dyDescent="0.3">
      <c r="A438">
        <v>2015</v>
      </c>
      <c r="B438" t="s">
        <v>8</v>
      </c>
      <c r="C438">
        <v>92253</v>
      </c>
      <c r="D438" t="s">
        <v>9</v>
      </c>
      <c r="E438" t="s">
        <v>10</v>
      </c>
      <c r="F438" t="s">
        <v>11</v>
      </c>
      <c r="G438">
        <v>7</v>
      </c>
      <c r="H438" s="9">
        <v>7995</v>
      </c>
      <c r="I438" t="s">
        <v>830</v>
      </c>
    </row>
    <row r="439" spans="1:9" x14ac:dyDescent="0.3">
      <c r="A439">
        <v>2014</v>
      </c>
      <c r="B439" t="s">
        <v>8</v>
      </c>
      <c r="C439">
        <v>62000</v>
      </c>
      <c r="D439" t="s">
        <v>9</v>
      </c>
      <c r="E439" t="s">
        <v>10</v>
      </c>
      <c r="F439" t="s">
        <v>11</v>
      </c>
      <c r="G439">
        <v>3</v>
      </c>
      <c r="H439" s="9">
        <v>7990</v>
      </c>
      <c r="I439" t="s">
        <v>828</v>
      </c>
    </row>
    <row r="440" spans="1:9" x14ac:dyDescent="0.3">
      <c r="A440">
        <v>2016</v>
      </c>
      <c r="B440" t="s">
        <v>8</v>
      </c>
      <c r="C440">
        <v>96000</v>
      </c>
      <c r="D440" t="s">
        <v>12</v>
      </c>
      <c r="E440" t="s">
        <v>10</v>
      </c>
      <c r="F440" t="s">
        <v>13</v>
      </c>
      <c r="G440">
        <v>2</v>
      </c>
      <c r="H440" s="9">
        <v>7990</v>
      </c>
      <c r="I440" t="s">
        <v>828</v>
      </c>
    </row>
    <row r="441" spans="1:9" x14ac:dyDescent="0.3">
      <c r="A441">
        <v>2015</v>
      </c>
      <c r="B441" t="s">
        <v>8</v>
      </c>
      <c r="C441">
        <v>98044</v>
      </c>
      <c r="D441" t="s">
        <v>12</v>
      </c>
      <c r="E441" t="s">
        <v>10</v>
      </c>
      <c r="F441" t="s">
        <v>13</v>
      </c>
      <c r="G441">
        <v>2</v>
      </c>
      <c r="H441" s="9">
        <v>7989</v>
      </c>
      <c r="I441" t="s">
        <v>829</v>
      </c>
    </row>
    <row r="442" spans="1:9" x14ac:dyDescent="0.3">
      <c r="A442">
        <v>2015</v>
      </c>
      <c r="B442" t="s">
        <v>8</v>
      </c>
      <c r="C442">
        <v>120000</v>
      </c>
      <c r="D442" t="s">
        <v>9</v>
      </c>
      <c r="E442" t="s">
        <v>10</v>
      </c>
      <c r="F442" t="s">
        <v>11</v>
      </c>
      <c r="G442">
        <v>4</v>
      </c>
      <c r="H442" s="9">
        <v>7980</v>
      </c>
      <c r="I442" t="s">
        <v>831</v>
      </c>
    </row>
    <row r="443" spans="1:9" x14ac:dyDescent="0.3">
      <c r="A443">
        <v>2015</v>
      </c>
      <c r="B443" t="s">
        <v>8</v>
      </c>
      <c r="C443">
        <v>107000</v>
      </c>
      <c r="D443" t="s">
        <v>12</v>
      </c>
      <c r="E443" t="s">
        <v>10</v>
      </c>
      <c r="F443" t="s">
        <v>13</v>
      </c>
      <c r="G443">
        <v>2</v>
      </c>
      <c r="H443" s="9">
        <v>7800</v>
      </c>
      <c r="I443" t="s">
        <v>830</v>
      </c>
    </row>
    <row r="444" spans="1:9" x14ac:dyDescent="0.3">
      <c r="A444">
        <v>2015</v>
      </c>
      <c r="B444" t="s">
        <v>8</v>
      </c>
      <c r="C444">
        <v>98000</v>
      </c>
      <c r="D444" t="s">
        <v>9</v>
      </c>
      <c r="E444" t="s">
        <v>10</v>
      </c>
      <c r="F444" t="s">
        <v>11</v>
      </c>
      <c r="G444">
        <v>2</v>
      </c>
      <c r="H444" s="9">
        <v>7790</v>
      </c>
      <c r="I444" t="s">
        <v>830</v>
      </c>
    </row>
    <row r="445" spans="1:9" x14ac:dyDescent="0.3">
      <c r="A445">
        <v>2014</v>
      </c>
      <c r="B445" t="s">
        <v>8</v>
      </c>
      <c r="C445">
        <v>44652</v>
      </c>
      <c r="D445" t="s">
        <v>9</v>
      </c>
      <c r="E445" t="s">
        <v>10</v>
      </c>
      <c r="F445" t="s">
        <v>11</v>
      </c>
      <c r="G445">
        <v>1</v>
      </c>
      <c r="H445" s="9">
        <v>7750</v>
      </c>
      <c r="I445" t="s">
        <v>830</v>
      </c>
    </row>
    <row r="446" spans="1:9" x14ac:dyDescent="0.3">
      <c r="A446">
        <v>2015</v>
      </c>
      <c r="B446" t="s">
        <v>8</v>
      </c>
      <c r="C446">
        <v>112500</v>
      </c>
      <c r="D446" t="s">
        <v>9</v>
      </c>
      <c r="E446" t="s">
        <v>15</v>
      </c>
      <c r="F446" t="s">
        <v>11</v>
      </c>
      <c r="G446">
        <v>2</v>
      </c>
      <c r="H446" s="9">
        <v>7699</v>
      </c>
      <c r="I446" t="s">
        <v>829</v>
      </c>
    </row>
    <row r="447" spans="1:9" x14ac:dyDescent="0.3">
      <c r="A447">
        <v>2014</v>
      </c>
      <c r="B447" t="s">
        <v>8</v>
      </c>
      <c r="C447">
        <v>99976</v>
      </c>
      <c r="D447" t="s">
        <v>9</v>
      </c>
      <c r="E447" t="s">
        <v>10</v>
      </c>
      <c r="F447" t="s">
        <v>11</v>
      </c>
      <c r="G447">
        <v>4</v>
      </c>
      <c r="H447" s="9">
        <v>7695</v>
      </c>
      <c r="I447" t="s">
        <v>829</v>
      </c>
    </row>
    <row r="448" spans="1:9" x14ac:dyDescent="0.3">
      <c r="A448">
        <v>2014</v>
      </c>
      <c r="B448" t="s">
        <v>8</v>
      </c>
      <c r="C448">
        <v>67453</v>
      </c>
      <c r="D448" t="s">
        <v>9</v>
      </c>
      <c r="E448" t="s">
        <v>10</v>
      </c>
      <c r="F448" t="s">
        <v>11</v>
      </c>
      <c r="G448">
        <v>4</v>
      </c>
      <c r="H448" s="9">
        <v>7691</v>
      </c>
      <c r="I448" t="s">
        <v>828</v>
      </c>
    </row>
    <row r="449" spans="1:9" x14ac:dyDescent="0.3">
      <c r="A449">
        <v>2014</v>
      </c>
      <c r="B449" t="s">
        <v>8</v>
      </c>
      <c r="C449">
        <v>52100</v>
      </c>
      <c r="D449" t="s">
        <v>14</v>
      </c>
      <c r="E449" t="s">
        <v>10</v>
      </c>
      <c r="F449" t="s">
        <v>13</v>
      </c>
      <c r="G449">
        <v>1</v>
      </c>
      <c r="H449" s="9">
        <v>7510</v>
      </c>
      <c r="I449" t="s">
        <v>830</v>
      </c>
    </row>
    <row r="450" spans="1:9" x14ac:dyDescent="0.3">
      <c r="A450">
        <v>2014</v>
      </c>
      <c r="B450" t="s">
        <v>8</v>
      </c>
      <c r="C450">
        <v>81500</v>
      </c>
      <c r="D450" t="s">
        <v>16</v>
      </c>
      <c r="E450" t="s">
        <v>10</v>
      </c>
      <c r="F450" t="s">
        <v>13</v>
      </c>
      <c r="G450">
        <v>2</v>
      </c>
      <c r="H450" s="9">
        <v>7495</v>
      </c>
      <c r="I450" t="s">
        <v>831</v>
      </c>
    </row>
    <row r="451" spans="1:9" x14ac:dyDescent="0.3">
      <c r="A451">
        <v>2014</v>
      </c>
      <c r="B451" t="s">
        <v>8</v>
      </c>
      <c r="C451">
        <v>86000</v>
      </c>
      <c r="D451" t="s">
        <v>9</v>
      </c>
      <c r="E451" t="s">
        <v>10</v>
      </c>
      <c r="F451" t="s">
        <v>11</v>
      </c>
      <c r="G451">
        <v>3</v>
      </c>
      <c r="H451" s="9">
        <v>7490</v>
      </c>
      <c r="I451" t="s">
        <v>829</v>
      </c>
    </row>
    <row r="452" spans="1:9" x14ac:dyDescent="0.3">
      <c r="A452">
        <v>2014</v>
      </c>
      <c r="B452" t="s">
        <v>8</v>
      </c>
      <c r="C452">
        <v>77669</v>
      </c>
      <c r="D452" t="s">
        <v>16</v>
      </c>
      <c r="E452" t="s">
        <v>10</v>
      </c>
      <c r="F452" t="s">
        <v>13</v>
      </c>
      <c r="G452">
        <v>2</v>
      </c>
      <c r="H452" s="9">
        <v>7490</v>
      </c>
      <c r="I452" t="s">
        <v>828</v>
      </c>
    </row>
    <row r="453" spans="1:9" x14ac:dyDescent="0.3">
      <c r="A453">
        <v>2015</v>
      </c>
      <c r="B453" t="s">
        <v>8</v>
      </c>
      <c r="C453">
        <v>111000</v>
      </c>
      <c r="D453" t="s">
        <v>9</v>
      </c>
      <c r="E453" t="s">
        <v>10</v>
      </c>
      <c r="F453" t="s">
        <v>11</v>
      </c>
      <c r="G453">
        <v>1</v>
      </c>
      <c r="H453" s="9">
        <v>7450</v>
      </c>
      <c r="I453" t="s">
        <v>829</v>
      </c>
    </row>
    <row r="454" spans="1:9" x14ac:dyDescent="0.3">
      <c r="A454">
        <v>2014</v>
      </c>
      <c r="B454" t="s">
        <v>8</v>
      </c>
      <c r="C454">
        <v>104310</v>
      </c>
      <c r="D454" t="s">
        <v>9</v>
      </c>
      <c r="E454" t="s">
        <v>10</v>
      </c>
      <c r="F454" t="s">
        <v>11</v>
      </c>
      <c r="G454">
        <v>3</v>
      </c>
      <c r="H454" s="9">
        <v>7400</v>
      </c>
      <c r="I454" t="s">
        <v>829</v>
      </c>
    </row>
    <row r="455" spans="1:9" x14ac:dyDescent="0.3">
      <c r="A455">
        <v>2014</v>
      </c>
      <c r="B455" t="s">
        <v>8</v>
      </c>
      <c r="C455">
        <v>71120</v>
      </c>
      <c r="D455" t="s">
        <v>9</v>
      </c>
      <c r="E455" t="s">
        <v>10</v>
      </c>
      <c r="F455" t="s">
        <v>11</v>
      </c>
      <c r="G455">
        <v>3</v>
      </c>
      <c r="H455" s="9">
        <v>7399</v>
      </c>
      <c r="I455" t="s">
        <v>830</v>
      </c>
    </row>
    <row r="456" spans="1:9" x14ac:dyDescent="0.3">
      <c r="A456">
        <v>2014</v>
      </c>
      <c r="B456" t="s">
        <v>8</v>
      </c>
      <c r="C456">
        <v>102525</v>
      </c>
      <c r="D456" t="s">
        <v>9</v>
      </c>
      <c r="E456" t="s">
        <v>10</v>
      </c>
      <c r="F456" t="s">
        <v>11</v>
      </c>
      <c r="G456">
        <v>4</v>
      </c>
      <c r="H456" s="9">
        <v>7345</v>
      </c>
      <c r="I456" t="s">
        <v>831</v>
      </c>
    </row>
    <row r="457" spans="1:9" x14ac:dyDescent="0.3">
      <c r="A457">
        <v>2016</v>
      </c>
      <c r="B457" t="s">
        <v>8</v>
      </c>
      <c r="C457">
        <v>103886</v>
      </c>
      <c r="D457" t="s">
        <v>12</v>
      </c>
      <c r="E457" t="s">
        <v>10</v>
      </c>
      <c r="F457" t="s">
        <v>13</v>
      </c>
      <c r="G457">
        <v>3</v>
      </c>
      <c r="H457" s="9">
        <v>7289</v>
      </c>
      <c r="I457" t="s">
        <v>830</v>
      </c>
    </row>
    <row r="458" spans="1:9" x14ac:dyDescent="0.3">
      <c r="A458">
        <v>2015</v>
      </c>
      <c r="B458" t="s">
        <v>8</v>
      </c>
      <c r="C458">
        <v>109725</v>
      </c>
      <c r="D458" t="s">
        <v>9</v>
      </c>
      <c r="E458" t="s">
        <v>10</v>
      </c>
      <c r="F458" t="s">
        <v>11</v>
      </c>
      <c r="G458">
        <v>1</v>
      </c>
      <c r="H458" s="9">
        <v>7089</v>
      </c>
      <c r="I458" t="s">
        <v>829</v>
      </c>
    </row>
    <row r="459" spans="1:9" x14ac:dyDescent="0.3">
      <c r="A459">
        <v>2014</v>
      </c>
      <c r="B459" t="s">
        <v>8</v>
      </c>
      <c r="C459">
        <v>92000</v>
      </c>
      <c r="D459" t="s">
        <v>9</v>
      </c>
      <c r="E459" t="s">
        <v>10</v>
      </c>
      <c r="F459" t="s">
        <v>11</v>
      </c>
      <c r="G459">
        <v>3</v>
      </c>
      <c r="H459" s="9">
        <v>7000</v>
      </c>
      <c r="I459" t="s">
        <v>830</v>
      </c>
    </row>
    <row r="460" spans="1:9" x14ac:dyDescent="0.3">
      <c r="A460">
        <v>2014</v>
      </c>
      <c r="B460" t="s">
        <v>8</v>
      </c>
      <c r="C460">
        <v>80137</v>
      </c>
      <c r="D460" t="s">
        <v>9</v>
      </c>
      <c r="E460" t="s">
        <v>10</v>
      </c>
      <c r="F460" t="s">
        <v>11</v>
      </c>
      <c r="G460">
        <v>2</v>
      </c>
      <c r="H460" s="9">
        <v>6995</v>
      </c>
      <c r="I460" t="s">
        <v>828</v>
      </c>
    </row>
    <row r="461" spans="1:9" x14ac:dyDescent="0.3">
      <c r="A461">
        <v>2014</v>
      </c>
      <c r="B461" t="s">
        <v>8</v>
      </c>
      <c r="C461">
        <v>68000</v>
      </c>
      <c r="D461" t="s">
        <v>9</v>
      </c>
      <c r="E461" t="s">
        <v>10</v>
      </c>
      <c r="F461" t="s">
        <v>11</v>
      </c>
      <c r="G461">
        <v>3</v>
      </c>
      <c r="H461" s="9">
        <v>6990</v>
      </c>
      <c r="I461" t="s">
        <v>830</v>
      </c>
    </row>
    <row r="462" spans="1:9" x14ac:dyDescent="0.3">
      <c r="A462">
        <v>2014</v>
      </c>
      <c r="B462" t="s">
        <v>8</v>
      </c>
      <c r="C462">
        <v>80000</v>
      </c>
      <c r="D462" t="s">
        <v>9</v>
      </c>
      <c r="E462" t="s">
        <v>10</v>
      </c>
      <c r="F462" t="s">
        <v>11</v>
      </c>
      <c r="G462">
        <v>4</v>
      </c>
      <c r="H462" s="9">
        <v>6795</v>
      </c>
      <c r="I462" t="s">
        <v>828</v>
      </c>
    </row>
    <row r="463" spans="1:9" x14ac:dyDescent="0.3">
      <c r="A463">
        <v>2014</v>
      </c>
      <c r="B463" t="s">
        <v>8</v>
      </c>
      <c r="C463">
        <v>116100</v>
      </c>
      <c r="D463" t="s">
        <v>9</v>
      </c>
      <c r="E463" t="s">
        <v>10</v>
      </c>
      <c r="F463" t="s">
        <v>11</v>
      </c>
      <c r="G463">
        <v>2</v>
      </c>
      <c r="H463" s="9">
        <v>6795</v>
      </c>
      <c r="I463" t="s">
        <v>828</v>
      </c>
    </row>
    <row r="464" spans="1:9" x14ac:dyDescent="0.3">
      <c r="A464">
        <v>2014</v>
      </c>
      <c r="B464" t="s">
        <v>8</v>
      </c>
      <c r="C464">
        <v>120690</v>
      </c>
      <c r="D464" t="s">
        <v>18</v>
      </c>
      <c r="E464" t="s">
        <v>10</v>
      </c>
      <c r="F464" t="s">
        <v>11</v>
      </c>
      <c r="G464">
        <v>2</v>
      </c>
      <c r="H464" s="9">
        <v>6690</v>
      </c>
      <c r="I464" t="s">
        <v>829</v>
      </c>
    </row>
    <row r="465" spans="1:9" x14ac:dyDescent="0.3">
      <c r="A465">
        <v>2015</v>
      </c>
      <c r="B465" t="s">
        <v>8</v>
      </c>
      <c r="C465">
        <v>105604</v>
      </c>
      <c r="D465" t="s">
        <v>9</v>
      </c>
      <c r="E465" t="s">
        <v>10</v>
      </c>
      <c r="F465" t="s">
        <v>11</v>
      </c>
      <c r="G465">
        <v>1</v>
      </c>
      <c r="H465" s="9">
        <v>6655</v>
      </c>
      <c r="I465" t="s">
        <v>831</v>
      </c>
    </row>
    <row r="466" spans="1:9" x14ac:dyDescent="0.3">
      <c r="A466">
        <v>2014</v>
      </c>
      <c r="B466" t="s">
        <v>8</v>
      </c>
      <c r="C466">
        <v>96500</v>
      </c>
      <c r="D466" t="s">
        <v>16</v>
      </c>
      <c r="E466" t="s">
        <v>10</v>
      </c>
      <c r="F466" t="s">
        <v>13</v>
      </c>
      <c r="G466">
        <v>4</v>
      </c>
      <c r="H466" s="9">
        <v>6550</v>
      </c>
      <c r="I466" t="s">
        <v>830</v>
      </c>
    </row>
    <row r="467" spans="1:9" x14ac:dyDescent="0.3">
      <c r="A467">
        <v>2014</v>
      </c>
      <c r="B467" t="s">
        <v>8</v>
      </c>
      <c r="C467">
        <v>92152</v>
      </c>
      <c r="D467" t="s">
        <v>14</v>
      </c>
      <c r="E467" t="s">
        <v>10</v>
      </c>
      <c r="F467" t="s">
        <v>13</v>
      </c>
      <c r="G467">
        <v>2</v>
      </c>
      <c r="H467" s="9">
        <v>6500</v>
      </c>
      <c r="I467" t="s">
        <v>830</v>
      </c>
    </row>
    <row r="468" spans="1:9" x14ac:dyDescent="0.3">
      <c r="A468">
        <v>2014</v>
      </c>
      <c r="B468" t="s">
        <v>8</v>
      </c>
      <c r="C468">
        <v>93432</v>
      </c>
      <c r="D468" t="s">
        <v>9</v>
      </c>
      <c r="E468" t="s">
        <v>10</v>
      </c>
      <c r="F468" t="s">
        <v>11</v>
      </c>
      <c r="G468">
        <v>4</v>
      </c>
      <c r="H468" s="9">
        <v>6490</v>
      </c>
      <c r="I468" t="s">
        <v>830</v>
      </c>
    </row>
    <row r="469" spans="1:9" x14ac:dyDescent="0.3">
      <c r="A469">
        <v>2015</v>
      </c>
      <c r="B469" t="s">
        <v>8</v>
      </c>
      <c r="C469">
        <v>149000</v>
      </c>
      <c r="D469" t="s">
        <v>9</v>
      </c>
      <c r="E469" t="s">
        <v>10</v>
      </c>
      <c r="F469" t="s">
        <v>11</v>
      </c>
      <c r="G469">
        <v>2</v>
      </c>
      <c r="H469" s="9">
        <v>6489</v>
      </c>
      <c r="I469" t="s">
        <v>829</v>
      </c>
    </row>
    <row r="470" spans="1:9" x14ac:dyDescent="0.3">
      <c r="A470">
        <v>2014</v>
      </c>
      <c r="B470" t="s">
        <v>8</v>
      </c>
      <c r="C470">
        <v>106000</v>
      </c>
      <c r="D470" t="s">
        <v>9</v>
      </c>
      <c r="E470" t="s">
        <v>10</v>
      </c>
      <c r="F470" t="s">
        <v>11</v>
      </c>
      <c r="G470">
        <v>2</v>
      </c>
      <c r="H470" s="9">
        <v>5495</v>
      </c>
      <c r="I470" t="s">
        <v>829</v>
      </c>
    </row>
    <row r="471" spans="1:9" x14ac:dyDescent="0.3">
      <c r="A471">
        <v>2014</v>
      </c>
      <c r="B471" t="s">
        <v>8</v>
      </c>
      <c r="C471">
        <v>139700</v>
      </c>
      <c r="D471" t="s">
        <v>9</v>
      </c>
      <c r="E471" t="s">
        <v>10</v>
      </c>
      <c r="F471" t="s">
        <v>11</v>
      </c>
      <c r="G471">
        <v>1</v>
      </c>
      <c r="H471" s="9">
        <v>5250</v>
      </c>
      <c r="I471" t="s">
        <v>828</v>
      </c>
    </row>
    <row r="472" spans="1:9" x14ac:dyDescent="0.3">
      <c r="A472">
        <v>2014</v>
      </c>
      <c r="B472" t="s">
        <v>8</v>
      </c>
      <c r="C472">
        <v>140000</v>
      </c>
      <c r="D472" t="s">
        <v>9</v>
      </c>
      <c r="E472" t="s">
        <v>10</v>
      </c>
      <c r="F472" t="s">
        <v>11</v>
      </c>
      <c r="G472">
        <v>2</v>
      </c>
      <c r="H472" s="9">
        <v>5000</v>
      </c>
      <c r="I472" t="s">
        <v>830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ltrar">
                <anchor moveWithCells="1" sizeWithCells="1">
                  <from>
                    <xdr:col>16</xdr:col>
                    <xdr:colOff>68580</xdr:colOff>
                    <xdr:row>0</xdr:row>
                    <xdr:rowOff>30480</xdr:rowOff>
                  </from>
                  <to>
                    <xdr:col>17</xdr:col>
                    <xdr:colOff>426720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xWindow="907" yWindow="385" count="2">
        <x14:dataValidation type="list" allowBlank="1" showInputMessage="1" showErrorMessage="1" errorTitle="Error" error="elegir uno preexistente" promptTitle="Seleccionar" prompt="Elegir una opcion" xr:uid="{AB45F9E4-0625-4278-AE88-6E90508772EC}">
          <x14:formula1>
            <xm:f>'Validacion de Datos'!$A$1:$A$2</xm:f>
          </x14:formula1>
          <xm:sqref>H148:H472</xm:sqref>
        </x14:dataValidation>
        <x14:dataValidation type="list" allowBlank="1" showInputMessage="1" showErrorMessage="1" xr:uid="{849A480F-AB0C-41C9-BF85-60375C94BE64}">
          <x14:formula1>
            <xm:f>'Validacion de Datos'!$C$1:$C$4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0E6E1-4699-4B98-8324-F9F52443224F}">
  <dimension ref="A1:D24"/>
  <sheetViews>
    <sheetView workbookViewId="0">
      <selection activeCell="A25" sqref="A25"/>
    </sheetView>
  </sheetViews>
  <sheetFormatPr baseColWidth="10" defaultRowHeight="14.4" x14ac:dyDescent="0.3"/>
  <cols>
    <col min="1" max="1" width="81.44140625" bestFit="1" customWidth="1"/>
    <col min="2" max="2" width="22.44140625" bestFit="1" customWidth="1"/>
    <col min="3" max="3" width="12.77734375" bestFit="1" customWidth="1"/>
    <col min="5" max="5" width="56" bestFit="1" customWidth="1"/>
  </cols>
  <sheetData>
    <row r="1" spans="1:4" x14ac:dyDescent="0.3">
      <c r="A1" s="10" t="s">
        <v>825</v>
      </c>
      <c r="B1" s="10" t="s">
        <v>802</v>
      </c>
      <c r="C1" s="10" t="s">
        <v>803</v>
      </c>
      <c r="D1" s="3"/>
    </row>
    <row r="2" spans="1:4" x14ac:dyDescent="0.3">
      <c r="A2" s="4" t="s">
        <v>826</v>
      </c>
      <c r="B2" s="4" t="s">
        <v>805</v>
      </c>
      <c r="C2" s="5" t="e">
        <f>SUM('Tabla Dinamica'!#REF!)</f>
        <v>#REF!</v>
      </c>
    </row>
    <row r="3" spans="1:4" x14ac:dyDescent="0.3">
      <c r="A3" s="4" t="s">
        <v>809</v>
      </c>
      <c r="B3" s="4" t="s">
        <v>807</v>
      </c>
      <c r="C3" s="4" t="e">
        <f>INDEX('Tabla Dinamica'!#REF!,MATCH(MAX('Tabla Dinamica'!#REF!),'Tabla Dinamica'!#REF!,0))</f>
        <v>#REF!</v>
      </c>
    </row>
    <row r="4" spans="1:4" x14ac:dyDescent="0.3">
      <c r="A4" s="4" t="s">
        <v>808</v>
      </c>
      <c r="B4" s="4" t="s">
        <v>804</v>
      </c>
      <c r="C4" s="5" t="e">
        <f>SUMIF('Tabla Dinamica'!#REF!,2022,'Tabla Dinamica'!#REF!)</f>
        <v>#REF!</v>
      </c>
    </row>
    <row r="5" spans="1:4" x14ac:dyDescent="0.3">
      <c r="A5" s="4" t="s">
        <v>810</v>
      </c>
      <c r="B5" s="4" t="s">
        <v>811</v>
      </c>
      <c r="C5" s="6" t="e">
        <f>AVERAGE('Tabla Dinamica'!#REF!)</f>
        <v>#REF!</v>
      </c>
    </row>
    <row r="6" spans="1:4" x14ac:dyDescent="0.3">
      <c r="A6" s="4" t="s">
        <v>813</v>
      </c>
      <c r="B6" s="4" t="s">
        <v>812</v>
      </c>
      <c r="C6" s="6" t="e">
        <f>MIN('Tabla Dinamica'!#REF!)</f>
        <v>#REF!</v>
      </c>
    </row>
    <row r="7" spans="1:4" x14ac:dyDescent="0.3">
      <c r="A7" s="4" t="s">
        <v>815</v>
      </c>
      <c r="B7" s="4" t="s">
        <v>814</v>
      </c>
      <c r="C7" s="4" t="e">
        <f>COUNTIF('Tabla Dinamica'!#REF!,"&gt;600000")</f>
        <v>#REF!</v>
      </c>
    </row>
    <row r="8" spans="1:4" x14ac:dyDescent="0.3">
      <c r="A8" s="4" t="s">
        <v>817</v>
      </c>
      <c r="B8" s="4" t="s">
        <v>816</v>
      </c>
      <c r="C8" s="6" t="e">
        <f>VLOOKUP('Tabla Dinamica'!#REF!,'Tabla Dinamica'!#REF!:'Tabla Dinamica'!#REF!,4,FALSE)</f>
        <v>#REF!</v>
      </c>
    </row>
    <row r="9" spans="1:4" x14ac:dyDescent="0.3">
      <c r="A9" s="4" t="s">
        <v>818</v>
      </c>
      <c r="B9" s="4" t="s">
        <v>806</v>
      </c>
      <c r="C9" s="4" t="e">
        <f>INDEX('Tabla Dinamica'!#REF!,MATCH(MIN('Tabla Dinamica'!#REF!),'Tabla Dinamica'!#REF!,0))</f>
        <v>#REF!</v>
      </c>
    </row>
    <row r="10" spans="1:4" x14ac:dyDescent="0.3">
      <c r="A10" s="4" t="s">
        <v>819</v>
      </c>
      <c r="B10" s="4" t="s">
        <v>814</v>
      </c>
      <c r="C10" s="4" t="e">
        <f>COUNTIF('Tabla Dinamica'!#REF!,"&gt;500000")</f>
        <v>#REF!</v>
      </c>
    </row>
    <row r="11" spans="1:4" x14ac:dyDescent="0.3">
      <c r="A11" s="4" t="s">
        <v>821</v>
      </c>
      <c r="B11" s="4" t="s">
        <v>820</v>
      </c>
      <c r="C11" s="6" t="e">
        <f>SUMIFS('Tabla Dinamica'!#REF!,'Tabla Dinamica'!#REF!,2020)</f>
        <v>#REF!</v>
      </c>
    </row>
    <row r="14" spans="1:4" x14ac:dyDescent="0.3">
      <c r="A14" s="10" t="s">
        <v>825</v>
      </c>
      <c r="B14" s="10" t="s">
        <v>802</v>
      </c>
      <c r="C14" s="10" t="s">
        <v>803</v>
      </c>
    </row>
    <row r="15" spans="1:4" x14ac:dyDescent="0.3">
      <c r="A15" s="4" t="s">
        <v>848</v>
      </c>
      <c r="B15" s="4" t="s">
        <v>832</v>
      </c>
      <c r="C15" s="4">
        <f>COUNTIFS('Base Normalizada'!I:I,"Daniel",'Base Normalizada'!E:E,"Manual",'Base Normalizada'!D:D,"1.0l")</f>
        <v>40</v>
      </c>
    </row>
    <row r="16" spans="1:4" x14ac:dyDescent="0.3">
      <c r="A16" s="4" t="s">
        <v>847</v>
      </c>
      <c r="B16" s="4" t="s">
        <v>833</v>
      </c>
      <c r="C16" s="6">
        <f>AVERAGEIFS('Base Normalizada'!H:H,'Base Normalizada'!I:I,"Leila",'Base Normalizada'!A:A,2021,'Base Normalizada'!C:C,"&gt;10000")</f>
        <v>24628</v>
      </c>
    </row>
    <row r="17" spans="1:3" x14ac:dyDescent="0.3">
      <c r="A17" s="4" t="s">
        <v>834</v>
      </c>
      <c r="B17" s="4" t="s">
        <v>804</v>
      </c>
      <c r="C17" s="6">
        <f>SUMIF('Base Normalizada'!G:G,1,'Base Normalizada'!H:H) - SUMIF('Base Normalizada'!G:G,2,'Base Normalizada'!H:H)</f>
        <v>954493</v>
      </c>
    </row>
    <row r="18" spans="1:3" x14ac:dyDescent="0.3">
      <c r="A18" s="4" t="s">
        <v>846</v>
      </c>
      <c r="B18" s="4" t="s">
        <v>835</v>
      </c>
      <c r="C18" s="6">
        <f>_xlfn.MAXIFS('Base Normalizada'!H:H,'Base Normalizada'!I:I,"Sebastian",'Base Normalizada'!A:A,2022)</f>
        <v>28950</v>
      </c>
    </row>
    <row r="19" spans="1:3" x14ac:dyDescent="0.3">
      <c r="A19" s="4" t="s">
        <v>836</v>
      </c>
      <c r="B19" s="4" t="s">
        <v>833</v>
      </c>
      <c r="C19" s="6">
        <f>AVERAGEIFS('Base Normalizada'!C:C,'Base Normalizada'!A:A,2019,'Base Normalizada'!I:I,"Daniel")</f>
        <v>32401.8125</v>
      </c>
    </row>
    <row r="20" spans="1:3" x14ac:dyDescent="0.3">
      <c r="A20" s="4" t="s">
        <v>837</v>
      </c>
      <c r="B20" s="4" t="s">
        <v>806</v>
      </c>
      <c r="C20" s="4" t="str">
        <f>INDEX('Base Normalizada'!I:I,MATCH(MIN('Base Normalizada'!H:H),'Base Normalizada'!H:H,0))</f>
        <v>Leila</v>
      </c>
    </row>
    <row r="21" spans="1:3" x14ac:dyDescent="0.3">
      <c r="A21" s="4" t="s">
        <v>838</v>
      </c>
      <c r="B21" s="4" t="s">
        <v>832</v>
      </c>
      <c r="C21" s="4">
        <f>COUNTIFS('Base Normalizada'!A:A,2020,'Base Normalizada'!I:I,"Araceli")</f>
        <v>7</v>
      </c>
    </row>
    <row r="22" spans="1:3" x14ac:dyDescent="0.3">
      <c r="A22" s="4" t="s">
        <v>839</v>
      </c>
      <c r="B22" s="4" t="s">
        <v>832</v>
      </c>
      <c r="C22" s="4">
        <f>COUNTIFS('Base Normalizada'!A:A,2020,'Base Normalizada'!I:I,"Daniel")</f>
        <v>13</v>
      </c>
    </row>
    <row r="23" spans="1:3" x14ac:dyDescent="0.3">
      <c r="A23" s="4" t="s">
        <v>840</v>
      </c>
      <c r="B23" s="4" t="s">
        <v>832</v>
      </c>
      <c r="C23" s="4">
        <f>COUNTIFS('Base Normalizada'!A:A,2020,'Base Normalizada'!I:I,"Leila")</f>
        <v>12</v>
      </c>
    </row>
    <row r="24" spans="1:3" x14ac:dyDescent="0.3">
      <c r="A24" s="4" t="s">
        <v>841</v>
      </c>
      <c r="B24" s="4" t="s">
        <v>832</v>
      </c>
      <c r="C24" s="4">
        <f>COUNTIFS('Base Normalizada'!A:A,2020,'Base Normalizada'!I:I,"Sebastian")</f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8E566-2243-4028-B65D-3EB80B4B2904}">
  <dimension ref="A1:K59"/>
  <sheetViews>
    <sheetView topLeftCell="A29" workbookViewId="0">
      <selection activeCell="L3" sqref="L3"/>
    </sheetView>
  </sheetViews>
  <sheetFormatPr baseColWidth="10" defaultRowHeight="14.4" x14ac:dyDescent="0.3"/>
  <cols>
    <col min="1" max="1" width="16.5546875" bestFit="1" customWidth="1"/>
    <col min="2" max="2" width="26.6640625" bestFit="1" customWidth="1"/>
    <col min="3" max="3" width="23.109375" bestFit="1" customWidth="1"/>
    <col min="4" max="4" width="10.5546875" bestFit="1" customWidth="1"/>
    <col min="5" max="5" width="27" bestFit="1" customWidth="1"/>
    <col min="6" max="6" width="18.44140625" bestFit="1" customWidth="1"/>
    <col min="7" max="7" width="21.44140625" bestFit="1" customWidth="1"/>
    <col min="8" max="8" width="6.21875" bestFit="1" customWidth="1"/>
    <col min="9" max="9" width="4.77734375" bestFit="1" customWidth="1"/>
    <col min="10" max="10" width="9.109375" bestFit="1" customWidth="1"/>
    <col min="11" max="11" width="11.88671875" bestFit="1" customWidth="1"/>
    <col min="12" max="13" width="23.109375" bestFit="1" customWidth="1"/>
    <col min="14" max="14" width="11.88671875" bestFit="1" customWidth="1"/>
    <col min="15" max="400" width="6" bestFit="1" customWidth="1"/>
    <col min="401" max="417" width="7" bestFit="1" customWidth="1"/>
    <col min="418" max="418" width="10.5546875" bestFit="1" customWidth="1"/>
    <col min="419" max="419" width="11.88671875" bestFit="1" customWidth="1"/>
  </cols>
  <sheetData>
    <row r="1" spans="1:10" x14ac:dyDescent="0.3">
      <c r="A1" s="11" t="s">
        <v>844</v>
      </c>
      <c r="B1" s="12"/>
      <c r="D1" s="11" t="s">
        <v>843</v>
      </c>
      <c r="E1" s="12"/>
      <c r="G1" s="11" t="s">
        <v>849</v>
      </c>
      <c r="H1" s="12"/>
      <c r="I1" s="12"/>
      <c r="J1" s="12"/>
    </row>
    <row r="2" spans="1:10" x14ac:dyDescent="0.3">
      <c r="A2" s="1" t="s">
        <v>798</v>
      </c>
      <c r="B2" t="s">
        <v>845</v>
      </c>
      <c r="D2" s="1" t="s">
        <v>798</v>
      </c>
      <c r="E2" t="s">
        <v>801</v>
      </c>
      <c r="G2" s="1" t="s">
        <v>798</v>
      </c>
      <c r="H2" t="s">
        <v>850</v>
      </c>
    </row>
    <row r="3" spans="1:10" x14ac:dyDescent="0.3">
      <c r="A3" s="2" t="s">
        <v>828</v>
      </c>
      <c r="B3" s="9">
        <v>14005.194174757282</v>
      </c>
      <c r="D3" s="2" t="s">
        <v>828</v>
      </c>
      <c r="E3" s="9">
        <v>1442535</v>
      </c>
      <c r="G3" s="2" t="s">
        <v>828</v>
      </c>
      <c r="H3" s="16">
        <v>103</v>
      </c>
    </row>
    <row r="4" spans="1:10" x14ac:dyDescent="0.3">
      <c r="A4" s="2" t="s">
        <v>829</v>
      </c>
      <c r="B4" s="9">
        <v>13943.601398601399</v>
      </c>
      <c r="D4" s="2" t="s">
        <v>829</v>
      </c>
      <c r="E4" s="9">
        <v>1993935</v>
      </c>
      <c r="G4" s="2" t="s">
        <v>829</v>
      </c>
      <c r="H4" s="16">
        <v>143</v>
      </c>
    </row>
    <row r="5" spans="1:10" x14ac:dyDescent="0.3">
      <c r="A5" s="2" t="s">
        <v>830</v>
      </c>
      <c r="B5" s="9">
        <v>13845.603658536585</v>
      </c>
      <c r="D5" s="2" t="s">
        <v>830</v>
      </c>
      <c r="E5" s="9">
        <v>2270679</v>
      </c>
      <c r="G5" s="2" t="s">
        <v>830</v>
      </c>
      <c r="H5" s="16">
        <v>164</v>
      </c>
    </row>
    <row r="6" spans="1:10" x14ac:dyDescent="0.3">
      <c r="A6" s="2" t="s">
        <v>831</v>
      </c>
      <c r="B6" s="9">
        <v>14037.196721311475</v>
      </c>
      <c r="D6" s="2" t="s">
        <v>831</v>
      </c>
      <c r="E6" s="9">
        <v>856269</v>
      </c>
      <c r="G6" s="2" t="s">
        <v>831</v>
      </c>
      <c r="H6" s="16">
        <v>61</v>
      </c>
    </row>
    <row r="7" spans="1:10" x14ac:dyDescent="0.3">
      <c r="A7" s="2" t="s">
        <v>842</v>
      </c>
      <c r="B7" s="9"/>
      <c r="D7" s="2" t="s">
        <v>799</v>
      </c>
      <c r="E7" s="9">
        <v>6563418</v>
      </c>
      <c r="G7" s="2" t="s">
        <v>799</v>
      </c>
      <c r="H7" s="16">
        <v>471</v>
      </c>
    </row>
    <row r="8" spans="1:10" x14ac:dyDescent="0.3">
      <c r="A8" s="2" t="s">
        <v>799</v>
      </c>
      <c r="B8" s="9">
        <v>13935.070063694267</v>
      </c>
    </row>
    <row r="11" spans="1:10" x14ac:dyDescent="0.3">
      <c r="A11" s="13" t="s">
        <v>851</v>
      </c>
      <c r="B11" s="11"/>
      <c r="D11" s="13" t="s">
        <v>852</v>
      </c>
      <c r="E11" s="11"/>
      <c r="G11" s="11" t="s">
        <v>854</v>
      </c>
      <c r="H11" s="11"/>
      <c r="I11" s="12"/>
      <c r="J11" s="12"/>
    </row>
    <row r="12" spans="1:10" x14ac:dyDescent="0.3">
      <c r="A12" s="1" t="s">
        <v>798</v>
      </c>
      <c r="B12" t="s">
        <v>850</v>
      </c>
      <c r="D12" s="1" t="s">
        <v>798</v>
      </c>
      <c r="E12" t="s">
        <v>801</v>
      </c>
      <c r="G12" s="1" t="s">
        <v>850</v>
      </c>
      <c r="H12" s="1" t="s">
        <v>800</v>
      </c>
    </row>
    <row r="13" spans="1:10" x14ac:dyDescent="0.3">
      <c r="A13" s="2">
        <v>2014</v>
      </c>
      <c r="B13" s="16">
        <v>70</v>
      </c>
      <c r="D13" s="2">
        <v>2014</v>
      </c>
      <c r="E13" s="9">
        <v>640399</v>
      </c>
      <c r="G13" s="1" t="s">
        <v>798</v>
      </c>
      <c r="H13" t="s">
        <v>15</v>
      </c>
      <c r="I13" t="s">
        <v>10</v>
      </c>
      <c r="J13" t="s">
        <v>799</v>
      </c>
    </row>
    <row r="14" spans="1:10" x14ac:dyDescent="0.3">
      <c r="A14" s="2">
        <v>2015</v>
      </c>
      <c r="B14" s="16">
        <v>88</v>
      </c>
      <c r="D14" s="2">
        <v>2015</v>
      </c>
      <c r="E14" s="9">
        <v>891407</v>
      </c>
      <c r="G14" s="2" t="s">
        <v>828</v>
      </c>
      <c r="H14">
        <v>24</v>
      </c>
      <c r="I14">
        <v>79</v>
      </c>
      <c r="J14">
        <v>103</v>
      </c>
    </row>
    <row r="15" spans="1:10" x14ac:dyDescent="0.3">
      <c r="A15" s="2">
        <v>2016</v>
      </c>
      <c r="B15" s="16">
        <v>64</v>
      </c>
      <c r="D15" s="2">
        <v>2016</v>
      </c>
      <c r="E15" s="9">
        <v>730317</v>
      </c>
      <c r="G15" s="2" t="s">
        <v>829</v>
      </c>
      <c r="H15">
        <v>33</v>
      </c>
      <c r="I15">
        <v>110</v>
      </c>
      <c r="J15">
        <v>143</v>
      </c>
    </row>
    <row r="16" spans="1:10" x14ac:dyDescent="0.3">
      <c r="A16" s="2">
        <v>2017</v>
      </c>
      <c r="B16" s="16">
        <v>58</v>
      </c>
      <c r="D16" s="2">
        <v>2017</v>
      </c>
      <c r="E16" s="9">
        <v>742915</v>
      </c>
      <c r="G16" s="2" t="s">
        <v>830</v>
      </c>
      <c r="H16">
        <v>37</v>
      </c>
      <c r="I16">
        <v>127</v>
      </c>
      <c r="J16">
        <v>164</v>
      </c>
    </row>
    <row r="17" spans="1:10" x14ac:dyDescent="0.3">
      <c r="A17" s="2">
        <v>2018</v>
      </c>
      <c r="B17" s="16">
        <v>52</v>
      </c>
      <c r="D17" s="2">
        <v>2018</v>
      </c>
      <c r="E17" s="9">
        <v>754676</v>
      </c>
      <c r="G17" s="2" t="s">
        <v>831</v>
      </c>
      <c r="H17">
        <v>12</v>
      </c>
      <c r="I17">
        <v>49</v>
      </c>
      <c r="J17">
        <v>61</v>
      </c>
    </row>
    <row r="18" spans="1:10" x14ac:dyDescent="0.3">
      <c r="A18" s="2">
        <v>2019</v>
      </c>
      <c r="B18" s="16">
        <v>74</v>
      </c>
      <c r="D18" s="2">
        <v>2019</v>
      </c>
      <c r="E18" s="9">
        <v>1377954</v>
      </c>
      <c r="G18" s="2" t="s">
        <v>799</v>
      </c>
      <c r="H18">
        <v>106</v>
      </c>
      <c r="I18">
        <v>365</v>
      </c>
      <c r="J18">
        <v>471</v>
      </c>
    </row>
    <row r="19" spans="1:10" x14ac:dyDescent="0.3">
      <c r="A19" s="2">
        <v>2020</v>
      </c>
      <c r="B19" s="16">
        <v>37</v>
      </c>
      <c r="D19" s="2">
        <v>2020</v>
      </c>
      <c r="E19" s="9">
        <v>731440</v>
      </c>
    </row>
    <row r="20" spans="1:10" x14ac:dyDescent="0.3">
      <c r="A20" s="2">
        <v>2021</v>
      </c>
      <c r="B20" s="16">
        <v>15</v>
      </c>
      <c r="D20" s="2">
        <v>2021</v>
      </c>
      <c r="E20" s="9">
        <v>350259</v>
      </c>
    </row>
    <row r="21" spans="1:10" x14ac:dyDescent="0.3">
      <c r="A21" s="2">
        <v>2022</v>
      </c>
      <c r="B21" s="16">
        <v>13</v>
      </c>
      <c r="D21" s="2">
        <v>2022</v>
      </c>
      <c r="E21" s="9">
        <v>344051</v>
      </c>
    </row>
    <row r="22" spans="1:10" x14ac:dyDescent="0.3">
      <c r="A22" s="2" t="s">
        <v>799</v>
      </c>
      <c r="B22" s="16">
        <v>471</v>
      </c>
      <c r="D22" s="2" t="s">
        <v>799</v>
      </c>
      <c r="E22" s="9">
        <v>6563418</v>
      </c>
    </row>
    <row r="25" spans="1:10" x14ac:dyDescent="0.3">
      <c r="A25" s="11" t="s">
        <v>855</v>
      </c>
      <c r="B25" s="11"/>
      <c r="C25" s="11"/>
    </row>
    <row r="26" spans="1:10" x14ac:dyDescent="0.3">
      <c r="A26" s="1" t="s">
        <v>845</v>
      </c>
      <c r="B26" s="1" t="s">
        <v>800</v>
      </c>
    </row>
    <row r="27" spans="1:10" x14ac:dyDescent="0.3">
      <c r="A27" s="1" t="s">
        <v>798</v>
      </c>
      <c r="B27" t="s">
        <v>12</v>
      </c>
      <c r="C27" t="s">
        <v>16</v>
      </c>
      <c r="D27" t="s">
        <v>14</v>
      </c>
      <c r="E27" t="s">
        <v>17</v>
      </c>
      <c r="F27" t="s">
        <v>9</v>
      </c>
      <c r="G27" t="s">
        <v>18</v>
      </c>
      <c r="H27" t="s">
        <v>799</v>
      </c>
    </row>
    <row r="28" spans="1:10" x14ac:dyDescent="0.3">
      <c r="A28" s="2">
        <v>2014</v>
      </c>
      <c r="B28" s="9"/>
      <c r="C28" s="9">
        <v>8196</v>
      </c>
      <c r="D28" s="9">
        <v>10342.542857142857</v>
      </c>
      <c r="E28" s="9"/>
      <c r="F28" s="9">
        <v>7826.8518518518522</v>
      </c>
      <c r="G28" s="9">
        <v>8701.6666666666661</v>
      </c>
      <c r="H28" s="9">
        <v>9148.557142857142</v>
      </c>
    </row>
    <row r="29" spans="1:10" x14ac:dyDescent="0.3">
      <c r="A29" s="2">
        <v>2015</v>
      </c>
      <c r="B29" s="9">
        <v>9893.7777777777774</v>
      </c>
      <c r="C29" s="9">
        <v>9490</v>
      </c>
      <c r="D29" s="9">
        <v>10935.39534883721</v>
      </c>
      <c r="E29" s="9"/>
      <c r="F29" s="9">
        <v>8996.2800000000007</v>
      </c>
      <c r="G29" s="9">
        <v>8700</v>
      </c>
      <c r="H29" s="9">
        <v>10129.625</v>
      </c>
    </row>
    <row r="30" spans="1:10" x14ac:dyDescent="0.3">
      <c r="A30" s="2">
        <v>2016</v>
      </c>
      <c r="B30" s="9">
        <v>10570.476190476191</v>
      </c>
      <c r="C30" s="9"/>
      <c r="D30" s="9">
        <v>12155.451612903225</v>
      </c>
      <c r="E30" s="9"/>
      <c r="F30" s="9">
        <v>10959.833333333334</v>
      </c>
      <c r="G30" s="9"/>
      <c r="H30" s="9">
        <v>11411.203125</v>
      </c>
    </row>
    <row r="31" spans="1:10" x14ac:dyDescent="0.3">
      <c r="A31" s="2">
        <v>2017</v>
      </c>
      <c r="B31" s="9">
        <v>11487</v>
      </c>
      <c r="C31" s="9"/>
      <c r="D31" s="9">
        <v>13117.757575757576</v>
      </c>
      <c r="E31" s="9"/>
      <c r="F31" s="9">
        <v>12831.35294117647</v>
      </c>
      <c r="G31" s="9"/>
      <c r="H31" s="9">
        <v>12808.879310344828</v>
      </c>
    </row>
    <row r="32" spans="1:10" x14ac:dyDescent="0.3">
      <c r="A32" s="2">
        <v>2018</v>
      </c>
      <c r="B32" s="9">
        <v>14659.2</v>
      </c>
      <c r="C32" s="9"/>
      <c r="D32" s="9">
        <v>14568.40625</v>
      </c>
      <c r="E32" s="9"/>
      <c r="F32" s="9">
        <v>13719.8</v>
      </c>
      <c r="G32" s="9"/>
      <c r="H32" s="9">
        <v>14513</v>
      </c>
    </row>
    <row r="33" spans="1:11" x14ac:dyDescent="0.3">
      <c r="A33" s="2">
        <v>2019</v>
      </c>
      <c r="B33" s="9">
        <v>18136.553571428572</v>
      </c>
      <c r="C33" s="9"/>
      <c r="D33" s="9"/>
      <c r="E33" s="9">
        <v>20076.941176470587</v>
      </c>
      <c r="F33" s="9"/>
      <c r="G33" s="9">
        <v>20999</v>
      </c>
      <c r="H33" s="9">
        <v>18621</v>
      </c>
    </row>
    <row r="34" spans="1:11" x14ac:dyDescent="0.3">
      <c r="A34" s="2">
        <v>2020</v>
      </c>
      <c r="B34" s="9">
        <v>19223.21212121212</v>
      </c>
      <c r="C34" s="9"/>
      <c r="D34" s="9"/>
      <c r="E34" s="9">
        <v>24094.666666666668</v>
      </c>
      <c r="F34" s="9"/>
      <c r="G34" s="9">
        <v>24790</v>
      </c>
      <c r="H34" s="9">
        <v>19768.64864864865</v>
      </c>
    </row>
    <row r="35" spans="1:11" x14ac:dyDescent="0.3">
      <c r="A35" s="2">
        <v>2021</v>
      </c>
      <c r="B35" s="9">
        <v>22489.583333333332</v>
      </c>
      <c r="C35" s="9"/>
      <c r="D35" s="9"/>
      <c r="E35" s="9">
        <v>26794.666666666668</v>
      </c>
      <c r="F35" s="9"/>
      <c r="G35" s="9"/>
      <c r="H35" s="9">
        <v>23350.6</v>
      </c>
    </row>
    <row r="36" spans="1:11" x14ac:dyDescent="0.3">
      <c r="A36" s="2">
        <v>2022</v>
      </c>
      <c r="B36" s="9">
        <v>25694.666666666668</v>
      </c>
      <c r="C36" s="9"/>
      <c r="D36" s="9"/>
      <c r="E36" s="9">
        <v>28199.75</v>
      </c>
      <c r="F36" s="9"/>
      <c r="G36" s="9"/>
      <c r="H36" s="9">
        <v>26465.461538461539</v>
      </c>
    </row>
    <row r="37" spans="1:11" x14ac:dyDescent="0.3">
      <c r="A37" s="2" t="s">
        <v>799</v>
      </c>
      <c r="B37" s="9">
        <v>16645.302325581397</v>
      </c>
      <c r="C37" s="9">
        <v>8411.6666666666661</v>
      </c>
      <c r="D37" s="9">
        <v>12115.545977011494</v>
      </c>
      <c r="E37" s="9">
        <v>22473.14814814815</v>
      </c>
      <c r="F37" s="9">
        <v>9935.8372093023263</v>
      </c>
      <c r="G37" s="9">
        <v>13432.333333333334</v>
      </c>
      <c r="H37" s="9">
        <v>13935.070063694267</v>
      </c>
    </row>
    <row r="39" spans="1:11" x14ac:dyDescent="0.3">
      <c r="A39" s="13" t="s">
        <v>853</v>
      </c>
    </row>
    <row r="40" spans="1:11" x14ac:dyDescent="0.3">
      <c r="A40" s="1" t="s">
        <v>798</v>
      </c>
      <c r="B40" t="s">
        <v>850</v>
      </c>
      <c r="C40" t="s">
        <v>801</v>
      </c>
      <c r="F40" s="11" t="s">
        <v>856</v>
      </c>
      <c r="G40" s="11"/>
      <c r="H40" s="12"/>
    </row>
    <row r="41" spans="1:11" x14ac:dyDescent="0.3">
      <c r="A41" s="2" t="s">
        <v>12</v>
      </c>
      <c r="B41">
        <v>172</v>
      </c>
      <c r="C41" s="9">
        <v>2862992</v>
      </c>
      <c r="F41" s="1" t="s">
        <v>850</v>
      </c>
      <c r="G41" s="1" t="s">
        <v>800</v>
      </c>
    </row>
    <row r="42" spans="1:11" x14ac:dyDescent="0.3">
      <c r="A42" s="2" t="s">
        <v>16</v>
      </c>
      <c r="B42">
        <v>6</v>
      </c>
      <c r="C42" s="9">
        <v>50470</v>
      </c>
      <c r="F42" s="1" t="s">
        <v>798</v>
      </c>
      <c r="G42" t="s">
        <v>828</v>
      </c>
      <c r="H42" t="s">
        <v>829</v>
      </c>
      <c r="I42" t="s">
        <v>830</v>
      </c>
      <c r="J42" t="s">
        <v>831</v>
      </c>
      <c r="K42" t="s">
        <v>799</v>
      </c>
    </row>
    <row r="43" spans="1:11" x14ac:dyDescent="0.3">
      <c r="A43" s="2" t="s">
        <v>14</v>
      </c>
      <c r="B43">
        <v>174</v>
      </c>
      <c r="C43" s="9">
        <v>2108105</v>
      </c>
      <c r="F43" s="2" t="s">
        <v>11</v>
      </c>
      <c r="G43" s="16">
        <v>22</v>
      </c>
      <c r="H43" s="16">
        <v>36</v>
      </c>
      <c r="I43" s="16">
        <v>23</v>
      </c>
      <c r="J43" s="16">
        <v>9</v>
      </c>
      <c r="K43" s="16">
        <v>90</v>
      </c>
    </row>
    <row r="44" spans="1:11" x14ac:dyDescent="0.3">
      <c r="A44" s="2" t="s">
        <v>17</v>
      </c>
      <c r="B44">
        <v>27</v>
      </c>
      <c r="C44" s="9">
        <v>606775</v>
      </c>
      <c r="F44" s="2" t="s">
        <v>13</v>
      </c>
      <c r="G44" s="16">
        <v>81</v>
      </c>
      <c r="H44" s="16">
        <v>107</v>
      </c>
      <c r="I44" s="16">
        <v>141</v>
      </c>
      <c r="J44" s="16">
        <v>52</v>
      </c>
      <c r="K44" s="16">
        <v>381</v>
      </c>
    </row>
    <row r="45" spans="1:11" x14ac:dyDescent="0.3">
      <c r="A45" s="2" t="s">
        <v>9</v>
      </c>
      <c r="B45">
        <v>86</v>
      </c>
      <c r="C45" s="9">
        <v>854482</v>
      </c>
      <c r="F45" s="2" t="s">
        <v>799</v>
      </c>
      <c r="G45" s="16">
        <v>103</v>
      </c>
      <c r="H45" s="16">
        <v>143</v>
      </c>
      <c r="I45" s="16">
        <v>164</v>
      </c>
      <c r="J45" s="16">
        <v>61</v>
      </c>
      <c r="K45" s="16">
        <v>471</v>
      </c>
    </row>
    <row r="46" spans="1:11" x14ac:dyDescent="0.3">
      <c r="A46" s="2" t="s">
        <v>18</v>
      </c>
      <c r="B46">
        <v>6</v>
      </c>
      <c r="C46" s="9">
        <v>80594</v>
      </c>
    </row>
    <row r="47" spans="1:11" x14ac:dyDescent="0.3">
      <c r="A47" s="2" t="s">
        <v>799</v>
      </c>
      <c r="B47">
        <v>471</v>
      </c>
      <c r="C47" s="9">
        <v>6563418</v>
      </c>
    </row>
    <row r="50" spans="1:2" x14ac:dyDescent="0.3">
      <c r="A50" s="13" t="s">
        <v>857</v>
      </c>
      <c r="B50" s="11"/>
    </row>
    <row r="51" spans="1:2" x14ac:dyDescent="0.3">
      <c r="A51" s="1" t="s">
        <v>798</v>
      </c>
      <c r="B51" t="s">
        <v>845</v>
      </c>
    </row>
    <row r="52" spans="1:2" x14ac:dyDescent="0.3">
      <c r="A52" s="2">
        <v>1</v>
      </c>
      <c r="B52" s="9">
        <v>16521.514705882353</v>
      </c>
    </row>
    <row r="53" spans="1:2" x14ac:dyDescent="0.3">
      <c r="A53" s="2">
        <v>2</v>
      </c>
      <c r="B53" s="9">
        <v>12389.210256410257</v>
      </c>
    </row>
    <row r="54" spans="1:2" x14ac:dyDescent="0.3">
      <c r="A54" s="2">
        <v>3</v>
      </c>
      <c r="B54" s="9">
        <v>11112.979166666666</v>
      </c>
    </row>
    <row r="55" spans="1:2" x14ac:dyDescent="0.3">
      <c r="A55" s="2">
        <v>4</v>
      </c>
      <c r="B55" s="9">
        <v>9861.0499999999993</v>
      </c>
    </row>
    <row r="56" spans="1:2" x14ac:dyDescent="0.3">
      <c r="A56" s="2">
        <v>5</v>
      </c>
      <c r="B56" s="9">
        <v>13747</v>
      </c>
    </row>
    <row r="57" spans="1:2" x14ac:dyDescent="0.3">
      <c r="A57" s="2">
        <v>6</v>
      </c>
      <c r="B57" s="9">
        <v>11000</v>
      </c>
    </row>
    <row r="58" spans="1:2" x14ac:dyDescent="0.3">
      <c r="A58" s="2">
        <v>7</v>
      </c>
      <c r="B58" s="9">
        <v>7995</v>
      </c>
    </row>
    <row r="59" spans="1:2" x14ac:dyDescent="0.3">
      <c r="A59" s="2" t="s">
        <v>799</v>
      </c>
      <c r="B59" s="9">
        <v>13935.070063694267</v>
      </c>
    </row>
  </sheetData>
  <pageMargins left="0.7" right="0.7" top="0.75" bottom="0.75" header="0.3" footer="0.3"/>
  <pageSetup paperSize="9" orientation="portrait"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DDB7E-4A3E-4710-9A26-A8CD0081B057}">
  <dimension ref="A1:C4"/>
  <sheetViews>
    <sheetView workbookViewId="0"/>
  </sheetViews>
  <sheetFormatPr baseColWidth="10" defaultRowHeight="14.4" x14ac:dyDescent="0.3"/>
  <sheetData>
    <row r="1" spans="1:3" x14ac:dyDescent="0.3">
      <c r="A1" t="s">
        <v>823</v>
      </c>
      <c r="C1" t="s">
        <v>828</v>
      </c>
    </row>
    <row r="2" spans="1:3" x14ac:dyDescent="0.3">
      <c r="A2" t="s">
        <v>824</v>
      </c>
      <c r="C2" t="s">
        <v>829</v>
      </c>
    </row>
    <row r="3" spans="1:3" x14ac:dyDescent="0.3">
      <c r="C3" t="s">
        <v>830</v>
      </c>
    </row>
    <row r="4" spans="1:3" x14ac:dyDescent="0.3">
      <c r="C4" t="s">
        <v>831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E6032-8EF2-4692-BB41-826A6ED0D223}">
  <dimension ref="A1:A14"/>
  <sheetViews>
    <sheetView showGridLines="0" workbookViewId="0">
      <selection activeCell="K2" sqref="K2"/>
    </sheetView>
  </sheetViews>
  <sheetFormatPr baseColWidth="10" defaultRowHeight="14.4" x14ac:dyDescent="0.3"/>
  <sheetData>
    <row r="1" customFormat="1" x14ac:dyDescent="0.3"/>
    <row r="2" customFormat="1" x14ac:dyDescent="0.3"/>
    <row r="3" customFormat="1" x14ac:dyDescent="0.3"/>
    <row r="4" customFormat="1" x14ac:dyDescent="0.3"/>
    <row r="5" customFormat="1" x14ac:dyDescent="0.3"/>
    <row r="6" customFormat="1" x14ac:dyDescent="0.3"/>
    <row r="7" customFormat="1" x14ac:dyDescent="0.3"/>
    <row r="8" customFormat="1" x14ac:dyDescent="0.3"/>
    <row r="9" customFormat="1" x14ac:dyDescent="0.3"/>
    <row r="10" customFormat="1" x14ac:dyDescent="0.3"/>
    <row r="11" customFormat="1" x14ac:dyDescent="0.3"/>
    <row r="12" customFormat="1" x14ac:dyDescent="0.3"/>
    <row r="13" customFormat="1" x14ac:dyDescent="0.3"/>
    <row r="14" customFormat="1" x14ac:dyDescent="0.3"/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DFF5EA-B4EB-4652-92C3-B607BB6EEC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Hoja Brief</vt:lpstr>
      <vt:lpstr>Base CSV</vt:lpstr>
      <vt:lpstr>Base Normalizada</vt:lpstr>
      <vt:lpstr>Preguntas y Respuestas</vt:lpstr>
      <vt:lpstr>Tabla Dinamica</vt:lpstr>
      <vt:lpstr>Validacion de Datos</vt:lpstr>
      <vt:lpstr>Dashboard Final</vt:lpstr>
      <vt:lpstr>'Base Normalizada'!Criterios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Araceli Ignes</cp:lastModifiedBy>
  <dcterms:created xsi:type="dcterms:W3CDTF">2025-07-14T20:53:37Z</dcterms:created>
  <dcterms:modified xsi:type="dcterms:W3CDTF">2025-09-04T01:52:02Z</dcterms:modified>
</cp:coreProperties>
</file>